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plannings AFFICHAGE\2026\"/>
    </mc:Choice>
  </mc:AlternateContent>
  <xr:revisionPtr revIDLastSave="0" documentId="13_ncr:1_{95BF7CFF-6C14-41FB-9F22-4EFD47FE4BAE}" xr6:coauthVersionLast="36" xr6:coauthVersionMax="36" xr10:uidLastSave="{00000000-0000-0000-0000-000000000000}"/>
  <bookViews>
    <workbookView xWindow="0" yWindow="0" windowWidth="28800" windowHeight="11685" xr2:uid="{6D2CE2A5-B56C-486D-B978-DBB7A20ABBE9}"/>
  </bookViews>
  <sheets>
    <sheet name="Feuil1" sheetId="1" r:id="rId1"/>
    <sheet name="Feuil2" sheetId="2" r:id="rId2"/>
  </sheets>
  <externalReferences>
    <externalReference r:id="rId3"/>
    <externalReference r:id="rId4"/>
  </externalReferences>
  <definedNames>
    <definedName name="bac_24">[1]Feuil1!$A$4:$C$15</definedName>
    <definedName name="bac_25">[1]Feuil1!$A$17:$C$28</definedName>
    <definedName name="bac_26">[1]Feuil1!$A$148:$C$159</definedName>
    <definedName name="bac_27">[1]Feuil1!$A$161:$C$172</definedName>
    <definedName name="ec_3">[1]Feuil1!$A$317:$C$328</definedName>
    <definedName name="GPME">[2]Base!$A$122:$C$131</definedName>
    <definedName name="gpme_1">[1]Feuil1!$A$121:$C$132</definedName>
    <definedName name="gpme_2">[1]Feuil1!$A$252:$C$263</definedName>
    <definedName name="M_1">[2]Base!$A$203:$C$214</definedName>
    <definedName name="m_2">[1]Feuil1!$A$134:$C$145</definedName>
    <definedName name="m_3">[1]Feuil1!$A$265:$C$276</definedName>
    <definedName name="mco_101">[1]Feuil1!$A$187:$C$198</definedName>
    <definedName name="mco_103">[1]Feuil1!$A$200:$C$211</definedName>
    <definedName name="mco_105">[1]Feuil1!$A$213:$C$224</definedName>
    <definedName name="mco_81">[2]Base!$A$3:$C$11</definedName>
    <definedName name="mco_83">[2]Base!$A$13:$C$21</definedName>
    <definedName name="mco_85">[2]Base!$A$23:$C$31</definedName>
    <definedName name="mco_87">[2]Base!$A$33:$C$41</definedName>
    <definedName name="mco_89">[1]Feuil1!$A$30:$C$41</definedName>
    <definedName name="mco_91">[1]Feuil1!$A$43:$C$54</definedName>
    <definedName name="mco_93">[1]Feuil1!$A$56:$C$67</definedName>
    <definedName name="mco_95">[1]Feuil1!$A$69:$C$80</definedName>
    <definedName name="mco_97">[1]Feuil1!$A$82:$C$90</definedName>
    <definedName name="mco_99">[1]Feuil1!$A$174:$C$185</definedName>
    <definedName name="ndrc_4">[2]Base!$A$93:$C$100</definedName>
    <definedName name="ndrc_5">[1]Feuil1!$A$95:$C$106</definedName>
    <definedName name="ndrc_6">[1]Feuil1!$A$108:$C$119</definedName>
    <definedName name="ndrc_7">[1]Feuil1!$A$226:$C$237</definedName>
    <definedName name="ndrc_8">[1]Feuil1!$A$239:$C$250</definedName>
    <definedName name="NDRC4">[2]Base!$A$93:$C$100</definedName>
    <definedName name="Print_Area" localSheetId="0">Feuil1!$A$1:$CA$141</definedName>
    <definedName name="rdc_10">[2]Base!$A$133:$C$140</definedName>
    <definedName name="rdc_12">[2]Base!$A$142:$C$149</definedName>
    <definedName name="rdc_14">[1]Feuil1!$A$278:$C$289</definedName>
    <definedName name="rdc_16">[1]Feuil1!$A$291:$C$302</definedName>
    <definedName name="rh_1">[1]Feuil1!$A$304:$C$315</definedName>
    <definedName name="_xlnm.Print_Area" localSheetId="0">Feuil1!$A$1:$CB$142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34" i="1" l="1"/>
  <c r="AN131" i="1"/>
  <c r="AN128" i="1"/>
  <c r="AN125" i="1"/>
  <c r="AN103" i="1"/>
  <c r="AN100" i="1"/>
  <c r="AN97" i="1"/>
  <c r="AN94" i="1"/>
  <c r="AN72" i="1"/>
  <c r="AN69" i="1"/>
  <c r="AN66" i="1"/>
  <c r="AN63" i="1"/>
  <c r="AN41" i="1"/>
  <c r="AN38" i="1"/>
  <c r="AN35" i="1"/>
  <c r="AN32" i="1"/>
  <c r="BY121" i="1"/>
  <c r="BY118" i="1"/>
  <c r="BY115" i="1"/>
  <c r="BY112" i="1"/>
  <c r="BY109" i="1"/>
  <c r="BY106" i="1"/>
  <c r="BY102" i="1"/>
  <c r="BY99" i="1"/>
  <c r="BY96" i="1"/>
  <c r="BY93" i="1"/>
  <c r="BS90" i="1"/>
  <c r="BS87" i="1"/>
  <c r="BS84" i="1"/>
  <c r="BS81" i="1"/>
  <c r="BS78" i="1"/>
  <c r="BS75" i="1"/>
  <c r="BS71" i="1"/>
  <c r="BS68" i="1"/>
  <c r="BS65" i="1"/>
  <c r="BS62" i="1"/>
  <c r="BS118" i="1"/>
  <c r="BS115" i="1"/>
  <c r="BS112" i="1"/>
  <c r="BS109" i="1"/>
  <c r="BS106" i="1"/>
  <c r="BS103" i="1"/>
  <c r="BS100" i="1"/>
  <c r="BS97" i="1"/>
  <c r="BS94" i="1"/>
  <c r="BS56" i="1"/>
  <c r="BS53" i="1"/>
  <c r="BS50" i="1"/>
  <c r="BS47" i="1"/>
  <c r="BS44" i="1"/>
  <c r="BS41" i="1"/>
  <c r="BS38" i="1"/>
  <c r="BS35" i="1"/>
  <c r="BS32" i="1"/>
  <c r="AQ38" i="1" l="1"/>
  <c r="BV140" i="1"/>
  <c r="BV137" i="1"/>
  <c r="BV134" i="1"/>
  <c r="BV131" i="1"/>
  <c r="BV128" i="1"/>
  <c r="BV125" i="1"/>
  <c r="BV90" i="1"/>
  <c r="BV87" i="1"/>
  <c r="BV81" i="1"/>
  <c r="BV78" i="1"/>
  <c r="BV75" i="1"/>
  <c r="BV71" i="1"/>
  <c r="BV68" i="1"/>
  <c r="BV65" i="1"/>
  <c r="BV62" i="1"/>
  <c r="BV56" i="1"/>
  <c r="BV53" i="1"/>
  <c r="BV50" i="1"/>
  <c r="BV47" i="1"/>
  <c r="BV44" i="1"/>
  <c r="BV41" i="1"/>
  <c r="BV38" i="1"/>
  <c r="BV35" i="1"/>
  <c r="BV32" i="1"/>
  <c r="BS121" i="1"/>
  <c r="BS59" i="1"/>
  <c r="BP87" i="1"/>
  <c r="BP84" i="1"/>
  <c r="BP81" i="1"/>
  <c r="BP78" i="1"/>
  <c r="BP75" i="1"/>
  <c r="BP71" i="1"/>
  <c r="BP68" i="1"/>
  <c r="BP65" i="1"/>
  <c r="BP62" i="1"/>
  <c r="BP28" i="1"/>
  <c r="BP25" i="1"/>
  <c r="BP22" i="1"/>
  <c r="BP19" i="1"/>
  <c r="BP13" i="1"/>
  <c r="BP7" i="1"/>
  <c r="BM71" i="1"/>
  <c r="BM68" i="1"/>
  <c r="BM65" i="1"/>
  <c r="BM62" i="1"/>
  <c r="BM40" i="1"/>
  <c r="BM37" i="1"/>
  <c r="BM34" i="1"/>
  <c r="BM31" i="1"/>
  <c r="BJ90" i="1"/>
  <c r="BJ87" i="1"/>
  <c r="BJ84" i="1"/>
  <c r="BJ81" i="1"/>
  <c r="BJ78" i="1"/>
  <c r="BJ75" i="1"/>
  <c r="BJ63" i="1"/>
  <c r="BJ66" i="1"/>
  <c r="BJ69" i="1"/>
  <c r="BJ72" i="1"/>
  <c r="BJ134" i="1"/>
  <c r="BJ131" i="1"/>
  <c r="BJ128" i="1"/>
  <c r="BJ125" i="1"/>
  <c r="BJ103" i="1"/>
  <c r="BJ100" i="1"/>
  <c r="BJ97" i="1"/>
  <c r="BJ94" i="1"/>
  <c r="BJ41" i="1"/>
  <c r="BJ38" i="1"/>
  <c r="BJ35" i="1"/>
  <c r="BJ32" i="1"/>
  <c r="BJ28" i="1"/>
  <c r="BJ25" i="1"/>
  <c r="BJ22" i="1"/>
  <c r="BJ19" i="1"/>
  <c r="BJ13" i="1"/>
  <c r="BJ7" i="1"/>
  <c r="BG59" i="1"/>
  <c r="BG56" i="1"/>
  <c r="BG53" i="1"/>
  <c r="BG50" i="1"/>
  <c r="BG47" i="1"/>
  <c r="BG44" i="1"/>
  <c r="BG28" i="1"/>
  <c r="BG25" i="1"/>
  <c r="BG22" i="1"/>
  <c r="BG19" i="1"/>
  <c r="BG16" i="1"/>
  <c r="BG13" i="1"/>
  <c r="BG10" i="1"/>
  <c r="BG7" i="1"/>
  <c r="BD28" i="1"/>
  <c r="BD25" i="1"/>
  <c r="BD22" i="1"/>
  <c r="BD19" i="1"/>
  <c r="BA90" i="1"/>
  <c r="BA78" i="1"/>
  <c r="BA75" i="1"/>
  <c r="BA72" i="1"/>
  <c r="BA69" i="1"/>
  <c r="BA66" i="1"/>
  <c r="BA63" i="1"/>
  <c r="AT28" i="1"/>
  <c r="AT25" i="1"/>
  <c r="AT22" i="1"/>
  <c r="AT19" i="1"/>
  <c r="AQ13" i="1"/>
  <c r="AQ7" i="1"/>
  <c r="AK140" i="1"/>
  <c r="AK137" i="1"/>
  <c r="AK134" i="1"/>
  <c r="AK131" i="1"/>
  <c r="AK128" i="1"/>
  <c r="AK125" i="1"/>
  <c r="AH34" i="1"/>
  <c r="AH31" i="1"/>
  <c r="AH59" i="1"/>
  <c r="AH56" i="1"/>
  <c r="AH53" i="1"/>
  <c r="AH50" i="1"/>
  <c r="AH47" i="1"/>
  <c r="AH44" i="1"/>
  <c r="AH41" i="1"/>
  <c r="AH38" i="1"/>
  <c r="AH87" i="1"/>
  <c r="AH84" i="1"/>
  <c r="AH81" i="1"/>
  <c r="AH78" i="1"/>
  <c r="AH75" i="1"/>
  <c r="AH72" i="1"/>
  <c r="AH69" i="1"/>
  <c r="AH66" i="1"/>
  <c r="AH63" i="1"/>
  <c r="AB87" i="1"/>
  <c r="AB84" i="1"/>
  <c r="AB81" i="1"/>
  <c r="AB78" i="1"/>
  <c r="AB58" i="1"/>
  <c r="AB55" i="1"/>
  <c r="AB52" i="1"/>
  <c r="AB49" i="1"/>
  <c r="AB46" i="1"/>
  <c r="AB43" i="1"/>
  <c r="AB10" i="1"/>
  <c r="AB7" i="1"/>
  <c r="BG134" i="1"/>
  <c r="BG131" i="1"/>
  <c r="BG128" i="1"/>
  <c r="BG125" i="1"/>
  <c r="BG103" i="1"/>
  <c r="BG100" i="1"/>
  <c r="BG97" i="1"/>
  <c r="BG94" i="1"/>
  <c r="BG72" i="1"/>
  <c r="BG69" i="1"/>
  <c r="BG66" i="1"/>
  <c r="BG63" i="1"/>
  <c r="BG41" i="1"/>
  <c r="BG38" i="1"/>
  <c r="BD121" i="1"/>
  <c r="BD118" i="1"/>
  <c r="BD115" i="1"/>
  <c r="BD112" i="1"/>
  <c r="BD90" i="1"/>
  <c r="BD87" i="1"/>
  <c r="BD84" i="1"/>
  <c r="BD81" i="1"/>
  <c r="BD59" i="1"/>
  <c r="BD56" i="1"/>
  <c r="BD53" i="1"/>
  <c r="BD50" i="1"/>
  <c r="BA121" i="1"/>
  <c r="BA118" i="1"/>
  <c r="BA115" i="1"/>
  <c r="BA112" i="1"/>
  <c r="BA87" i="1"/>
  <c r="BA84" i="1"/>
  <c r="BA81" i="1"/>
  <c r="BA59" i="1"/>
  <c r="BA56" i="1"/>
  <c r="BA53" i="1"/>
  <c r="BA50" i="1"/>
  <c r="BA28" i="1"/>
  <c r="BA25" i="1"/>
  <c r="AT121" i="1"/>
  <c r="AT118" i="1"/>
  <c r="AT115" i="1"/>
  <c r="AT112" i="1"/>
  <c r="AT90" i="1"/>
  <c r="AT87" i="1"/>
  <c r="AT84" i="1"/>
  <c r="AT81" i="1"/>
  <c r="AT59" i="1"/>
  <c r="AT56" i="1"/>
  <c r="AT53" i="1"/>
  <c r="AT50" i="1"/>
  <c r="AH10" i="1"/>
  <c r="AH7" i="1"/>
  <c r="AH28" i="1"/>
  <c r="AH25" i="1"/>
  <c r="AK13" i="1"/>
  <c r="AK7" i="1"/>
  <c r="AK19" i="1"/>
  <c r="AK22" i="1"/>
  <c r="AK25" i="1"/>
  <c r="AK28" i="1"/>
  <c r="AQ140" i="1"/>
  <c r="AQ137" i="1"/>
  <c r="AQ134" i="1"/>
  <c r="AQ131" i="1"/>
  <c r="AQ109" i="1"/>
  <c r="AQ106" i="1"/>
  <c r="AQ103" i="1"/>
  <c r="AQ100" i="1"/>
  <c r="AQ78" i="1"/>
  <c r="AQ75" i="1"/>
  <c r="AQ72" i="1"/>
  <c r="AQ69" i="1"/>
  <c r="AQ47" i="1"/>
  <c r="AQ44" i="1"/>
  <c r="AQ41" i="1"/>
  <c r="AK121" i="1"/>
  <c r="AK118" i="1"/>
  <c r="AK115" i="1"/>
  <c r="AK112" i="1"/>
  <c r="AK90" i="1"/>
  <c r="AK87" i="1"/>
  <c r="AK84" i="1"/>
  <c r="AK81" i="1"/>
  <c r="AK59" i="1"/>
  <c r="AK56" i="1"/>
  <c r="AK53" i="1"/>
  <c r="AK50" i="1"/>
  <c r="AH140" i="1"/>
  <c r="AH137" i="1"/>
  <c r="AH115" i="1"/>
  <c r="AH112" i="1"/>
  <c r="AH109" i="1"/>
  <c r="AH106" i="1"/>
  <c r="AH22" i="1"/>
  <c r="AH19" i="1"/>
  <c r="AH16" i="1"/>
  <c r="AH13" i="1"/>
  <c r="AE140" i="1"/>
  <c r="AE137" i="1"/>
  <c r="AE134" i="1"/>
  <c r="AE131" i="1"/>
  <c r="AE109" i="1"/>
  <c r="AE106" i="1"/>
  <c r="AE103" i="1"/>
  <c r="AE100" i="1"/>
  <c r="AE78" i="1"/>
  <c r="AE75" i="1"/>
  <c r="AE72" i="1"/>
  <c r="AE69" i="1"/>
  <c r="AE47" i="1"/>
  <c r="AE44" i="1"/>
  <c r="AE41" i="1"/>
  <c r="AE38" i="1"/>
  <c r="AE10" i="1"/>
  <c r="AE7" i="1"/>
  <c r="AE16" i="1"/>
  <c r="BY7" i="1"/>
  <c r="BV7" i="1"/>
  <c r="BS7" i="1"/>
  <c r="BM7" i="1"/>
  <c r="BD7" i="1"/>
  <c r="BA7" i="1"/>
  <c r="AT7" i="1"/>
  <c r="AN7" i="1"/>
  <c r="BY140" i="1" l="1"/>
  <c r="BY137" i="1"/>
  <c r="BY133" i="1"/>
  <c r="BY130" i="1"/>
  <c r="BY127" i="1"/>
  <c r="BY124" i="1"/>
  <c r="BG35" i="1"/>
  <c r="BG32" i="1"/>
  <c r="BD133" i="1"/>
  <c r="BD130" i="1"/>
  <c r="BD127" i="1"/>
  <c r="BD124" i="1"/>
  <c r="AB69" i="1"/>
  <c r="AB66" i="1"/>
  <c r="AB38" i="1"/>
  <c r="AB134" i="1"/>
  <c r="AB131" i="1"/>
  <c r="AB128" i="1"/>
  <c r="AB125" i="1"/>
  <c r="AB103" i="1"/>
  <c r="AB100" i="1"/>
  <c r="AB97" i="1"/>
  <c r="AB94" i="1"/>
  <c r="AB72" i="1"/>
  <c r="AB41" i="1"/>
  <c r="AB35" i="1"/>
  <c r="AB32" i="1"/>
  <c r="BY56" i="1" l="1"/>
  <c r="BY53" i="1"/>
  <c r="BY50" i="1"/>
  <c r="BY47" i="1"/>
  <c r="BY44" i="1"/>
  <c r="BY40" i="1"/>
  <c r="BY37" i="1"/>
  <c r="BY34" i="1"/>
  <c r="BY31" i="1"/>
  <c r="BD140" i="1" l="1"/>
  <c r="BD137" i="1"/>
  <c r="BY13" i="1" l="1"/>
  <c r="BY90" i="1"/>
  <c r="BY59" i="1"/>
  <c r="BY28" i="1"/>
  <c r="BY25" i="1"/>
  <c r="BY22" i="1"/>
  <c r="BY19" i="1"/>
  <c r="BS140" i="1"/>
  <c r="BP140" i="1"/>
  <c r="BM140" i="1"/>
  <c r="BS137" i="1"/>
  <c r="BP137" i="1"/>
  <c r="BM137" i="1"/>
  <c r="BS133" i="1"/>
  <c r="BP133" i="1"/>
  <c r="BS130" i="1"/>
  <c r="BP130" i="1"/>
  <c r="BS127" i="1"/>
  <c r="BP127" i="1"/>
  <c r="BS124" i="1"/>
  <c r="BP124" i="1"/>
  <c r="BV121" i="1"/>
  <c r="BP121" i="1"/>
  <c r="BM121" i="1"/>
  <c r="BV118" i="1"/>
  <c r="BM118" i="1"/>
  <c r="BV115" i="1"/>
  <c r="BM115" i="1"/>
  <c r="BV112" i="1"/>
  <c r="BM112" i="1"/>
  <c r="BV109" i="1"/>
  <c r="BM109" i="1"/>
  <c r="BV106" i="1"/>
  <c r="BM106" i="1"/>
  <c r="BV102" i="1"/>
  <c r="BV99" i="1"/>
  <c r="BV96" i="1"/>
  <c r="BV93" i="1"/>
  <c r="BP90" i="1"/>
  <c r="BM90" i="1"/>
  <c r="BM87" i="1"/>
  <c r="BM84" i="1"/>
  <c r="BM81" i="1"/>
  <c r="BM78" i="1"/>
  <c r="BM75" i="1"/>
  <c r="BV59" i="1"/>
  <c r="BP59" i="1"/>
  <c r="BM59" i="1"/>
  <c r="BP56" i="1"/>
  <c r="BM56" i="1"/>
  <c r="BP53" i="1"/>
  <c r="BM53" i="1"/>
  <c r="BP50" i="1"/>
  <c r="BM50" i="1"/>
  <c r="BP47" i="1"/>
  <c r="BM47" i="1"/>
  <c r="BP44" i="1"/>
  <c r="BM44" i="1"/>
  <c r="BP40" i="1"/>
  <c r="BP37" i="1"/>
  <c r="BP34" i="1"/>
  <c r="BP31" i="1"/>
  <c r="BV28" i="1"/>
  <c r="BS28" i="1"/>
  <c r="BM28" i="1"/>
  <c r="BV25" i="1"/>
  <c r="BS25" i="1"/>
  <c r="BM25" i="1"/>
  <c r="BV22" i="1"/>
  <c r="BS22" i="1"/>
  <c r="BM22" i="1"/>
  <c r="BV19" i="1"/>
  <c r="BS19" i="1"/>
  <c r="BM19" i="1"/>
  <c r="BV13" i="1"/>
  <c r="BS13" i="1"/>
  <c r="BM13" i="1"/>
  <c r="BG140" i="1"/>
  <c r="BJ140" i="1"/>
  <c r="BA140" i="1"/>
  <c r="BG137" i="1"/>
  <c r="BJ137" i="1"/>
  <c r="BA137" i="1"/>
  <c r="BA133" i="1"/>
  <c r="BA130" i="1"/>
  <c r="BA127" i="1"/>
  <c r="BA124" i="1"/>
  <c r="BG121" i="1"/>
  <c r="BJ121" i="1"/>
  <c r="BG118" i="1"/>
  <c r="BJ118" i="1"/>
  <c r="BG115" i="1"/>
  <c r="BJ115" i="1"/>
  <c r="BG112" i="1"/>
  <c r="BJ112" i="1"/>
  <c r="BG109" i="1"/>
  <c r="BJ109" i="1"/>
  <c r="BA109" i="1"/>
  <c r="BD109" i="1"/>
  <c r="BG106" i="1"/>
  <c r="BJ106" i="1"/>
  <c r="BA106" i="1"/>
  <c r="BD106" i="1"/>
  <c r="BA102" i="1"/>
  <c r="BD102" i="1"/>
  <c r="BA99" i="1"/>
  <c r="BD99" i="1"/>
  <c r="BA96" i="1"/>
  <c r="BD96" i="1"/>
  <c r="BA93" i="1"/>
  <c r="BD93" i="1"/>
  <c r="BG90" i="1"/>
  <c r="BG87" i="1"/>
  <c r="BG84" i="1"/>
  <c r="BG81" i="1"/>
  <c r="BG78" i="1"/>
  <c r="BD78" i="1"/>
  <c r="BG75" i="1"/>
  <c r="BD75" i="1"/>
  <c r="BD71" i="1"/>
  <c r="BD68" i="1"/>
  <c r="BD65" i="1"/>
  <c r="BD62" i="1"/>
  <c r="BJ59" i="1"/>
  <c r="BJ56" i="1"/>
  <c r="BJ53" i="1"/>
  <c r="BJ50" i="1"/>
  <c r="BJ47" i="1"/>
  <c r="BA47" i="1"/>
  <c r="BD47" i="1"/>
  <c r="BJ44" i="1"/>
  <c r="BA44" i="1"/>
  <c r="BD44" i="1"/>
  <c r="BA40" i="1"/>
  <c r="BD40" i="1"/>
  <c r="BA37" i="1"/>
  <c r="BD37" i="1"/>
  <c r="BA34" i="1"/>
  <c r="BD34" i="1"/>
  <c r="BA31" i="1"/>
  <c r="BD31" i="1"/>
  <c r="BA22" i="1"/>
  <c r="BA19" i="1"/>
  <c r="BA13" i="1"/>
  <c r="BD13" i="1"/>
  <c r="AB140" i="1"/>
  <c r="AT140" i="1"/>
  <c r="AN140" i="1"/>
  <c r="AB137" i="1"/>
  <c r="AT137" i="1"/>
  <c r="AN137" i="1"/>
  <c r="AH133" i="1"/>
  <c r="AT133" i="1"/>
  <c r="AH130" i="1"/>
  <c r="AT130" i="1"/>
  <c r="AH127" i="1"/>
  <c r="AE127" i="1"/>
  <c r="AT127" i="1"/>
  <c r="AQ127" i="1"/>
  <c r="AH124" i="1"/>
  <c r="AE124" i="1"/>
  <c r="AT124" i="1"/>
  <c r="AQ124" i="1"/>
  <c r="AH121" i="1"/>
  <c r="AE121" i="1"/>
  <c r="AB121" i="1"/>
  <c r="AQ121" i="1"/>
  <c r="AN121" i="1"/>
  <c r="AH118" i="1"/>
  <c r="AE118" i="1"/>
  <c r="AB118" i="1"/>
  <c r="AQ118" i="1"/>
  <c r="AN118" i="1"/>
  <c r="AE115" i="1"/>
  <c r="AB115" i="1"/>
  <c r="AQ115" i="1"/>
  <c r="AN115" i="1"/>
  <c r="AE112" i="1"/>
  <c r="AB112" i="1"/>
  <c r="AQ112" i="1"/>
  <c r="AN112" i="1"/>
  <c r="AK109" i="1"/>
  <c r="AB109" i="1"/>
  <c r="AT109" i="1"/>
  <c r="AN109" i="1"/>
  <c r="AK106" i="1"/>
  <c r="AB106" i="1"/>
  <c r="AT106" i="1"/>
  <c r="AN106" i="1"/>
  <c r="AK102" i="1"/>
  <c r="AH102" i="1"/>
  <c r="AT102" i="1"/>
  <c r="AK99" i="1"/>
  <c r="AH99" i="1"/>
  <c r="AT99" i="1"/>
  <c r="AK96" i="1"/>
  <c r="AH96" i="1"/>
  <c r="AE96" i="1"/>
  <c r="AT96" i="1"/>
  <c r="AQ96" i="1"/>
  <c r="AK93" i="1"/>
  <c r="AH93" i="1"/>
  <c r="AE93" i="1"/>
  <c r="AT93" i="1"/>
  <c r="AQ93" i="1"/>
  <c r="AH90" i="1"/>
  <c r="AE90" i="1"/>
  <c r="AB90" i="1"/>
  <c r="AQ90" i="1"/>
  <c r="AN90" i="1"/>
  <c r="AE87" i="1"/>
  <c r="AQ87" i="1"/>
  <c r="AN87" i="1"/>
  <c r="AE84" i="1"/>
  <c r="AQ84" i="1"/>
  <c r="AN84" i="1"/>
  <c r="AE81" i="1"/>
  <c r="AQ81" i="1"/>
  <c r="AN81" i="1"/>
  <c r="AK78" i="1"/>
  <c r="AT78" i="1"/>
  <c r="AN78" i="1"/>
  <c r="AK75" i="1"/>
  <c r="AT75" i="1"/>
  <c r="AN75" i="1"/>
  <c r="AK71" i="1"/>
  <c r="AT71" i="1"/>
  <c r="AK68" i="1"/>
  <c r="AT68" i="1"/>
  <c r="AK65" i="1"/>
  <c r="AE65" i="1"/>
  <c r="AT65" i="1"/>
  <c r="AQ65" i="1"/>
  <c r="AK62" i="1"/>
  <c r="AE62" i="1"/>
  <c r="AT62" i="1"/>
  <c r="AQ62" i="1"/>
  <c r="AE59" i="1"/>
  <c r="AQ59" i="1"/>
  <c r="AN59" i="1"/>
  <c r="AE56" i="1"/>
  <c r="AQ56" i="1"/>
  <c r="AN56" i="1"/>
  <c r="AE53" i="1"/>
  <c r="AQ53" i="1"/>
  <c r="AN53" i="1"/>
  <c r="AE50" i="1"/>
  <c r="AQ50" i="1"/>
  <c r="AN50" i="1"/>
  <c r="AK47" i="1"/>
  <c r="AT47" i="1"/>
  <c r="AN47" i="1"/>
  <c r="AK44" i="1"/>
  <c r="AT44" i="1"/>
  <c r="AN44" i="1"/>
  <c r="AK40" i="1"/>
  <c r="AT40" i="1"/>
  <c r="AK37" i="1"/>
  <c r="AT37" i="1"/>
  <c r="AK34" i="1"/>
  <c r="AE34" i="1"/>
  <c r="AT34" i="1"/>
  <c r="AQ34" i="1"/>
  <c r="AK31" i="1"/>
  <c r="AE31" i="1"/>
  <c r="AT31" i="1"/>
  <c r="AQ31" i="1"/>
  <c r="AE28" i="1"/>
  <c r="AB28" i="1"/>
  <c r="AQ28" i="1"/>
  <c r="AN28" i="1"/>
  <c r="AE25" i="1"/>
  <c r="AB25" i="1"/>
  <c r="AQ25" i="1"/>
  <c r="AN25" i="1"/>
  <c r="AE22" i="1"/>
  <c r="AB22" i="1"/>
  <c r="AQ22" i="1"/>
  <c r="AN22" i="1"/>
  <c r="AE19" i="1"/>
  <c r="AB19" i="1"/>
  <c r="AQ19" i="1"/>
  <c r="AN19" i="1"/>
  <c r="AE13" i="1"/>
  <c r="AB13" i="1"/>
  <c r="AT13" i="1"/>
  <c r="AN13" i="1"/>
</calcChain>
</file>

<file path=xl/sharedStrings.xml><?xml version="1.0" encoding="utf-8"?>
<sst xmlns="http://schemas.openxmlformats.org/spreadsheetml/2006/main" count="626" uniqueCount="183">
  <si>
    <t>BTS MCO 81</t>
  </si>
  <si>
    <t>BTS MCO 83</t>
  </si>
  <si>
    <t>BTS MCO 85</t>
  </si>
  <si>
    <t>BTS MCO 87</t>
  </si>
  <si>
    <t>Lundi</t>
  </si>
  <si>
    <t>Mardi</t>
  </si>
  <si>
    <t>Mercredi</t>
  </si>
  <si>
    <t>Vendredi</t>
  </si>
  <si>
    <t>BTS MCO 89</t>
  </si>
  <si>
    <t>BTS MCO 91</t>
  </si>
  <si>
    <t>BTS MCO 93</t>
  </si>
  <si>
    <t>BTS MCO 95</t>
  </si>
  <si>
    <t>RDC 10</t>
  </si>
  <si>
    <t>RDC 12</t>
  </si>
  <si>
    <t>BTS MCO 97</t>
  </si>
  <si>
    <t>2024 - Liste formateurs/enseignement/classe</t>
  </si>
  <si>
    <t>l-ma</t>
  </si>
  <si>
    <t>Gestion</t>
  </si>
  <si>
    <t>A.Morice</t>
  </si>
  <si>
    <t>amoricelodima@gmail.com</t>
  </si>
  <si>
    <t>ADOC</t>
  </si>
  <si>
    <t>O.Sanson</t>
  </si>
  <si>
    <t>osansonlodima@gmail.com</t>
  </si>
  <si>
    <t>DRCVC</t>
  </si>
  <si>
    <t>S.Douillard</t>
  </si>
  <si>
    <t>douillardsylvie@gmail.com</t>
  </si>
  <si>
    <t>CEJM</t>
  </si>
  <si>
    <t>A.Chéa</t>
  </si>
  <si>
    <t>alain.chea968@gmail.com</t>
  </si>
  <si>
    <t>Anglais</t>
  </si>
  <si>
    <t>G.Berhouc</t>
  </si>
  <si>
    <t>berhoucgaetan.formateurs@gmail.com</t>
  </si>
  <si>
    <t>CGE</t>
  </si>
  <si>
    <t>L.Moreno</t>
  </si>
  <si>
    <t>lauramoreno.p9@gmail.com</t>
  </si>
  <si>
    <t>Management</t>
  </si>
  <si>
    <t>C.Bourgault</t>
  </si>
  <si>
    <t>clairebourgault.lodima@gmail.com</t>
  </si>
  <si>
    <t>ma-me</t>
  </si>
  <si>
    <t>A.Christien</t>
  </si>
  <si>
    <t>lilichristien@gmail.com</t>
  </si>
  <si>
    <t>K.Kousaki</t>
  </si>
  <si>
    <t>kathykous87@gmail.com</t>
  </si>
  <si>
    <t>G.Richard</t>
  </si>
  <si>
    <t>grichardlodima@gmail.com</t>
  </si>
  <si>
    <t>F.Cochet</t>
  </si>
  <si>
    <t>fcochetlodima@gmail.com</t>
  </si>
  <si>
    <t>me-j</t>
  </si>
  <si>
    <t>T.Fresnel</t>
  </si>
  <si>
    <t>thierry.fresnel@gmail.com</t>
  </si>
  <si>
    <t>G.Frémont</t>
  </si>
  <si>
    <t>gfremontlodima@gmail.com</t>
  </si>
  <si>
    <t>G.Duclos</t>
  </si>
  <si>
    <t>gaelle.duclos@hotmail.fr</t>
  </si>
  <si>
    <t>Projet citoyen</t>
  </si>
  <si>
    <t>C.Gérard</t>
  </si>
  <si>
    <t>cloge.cg@gmail.com</t>
  </si>
  <si>
    <t>j-v</t>
  </si>
  <si>
    <t>J.C.Bruneau</t>
  </si>
  <si>
    <t>jeanchristophebruneau94@gmail.com</t>
  </si>
  <si>
    <t>C.Turina</t>
  </si>
  <si>
    <t>madameturina@gmail.com</t>
  </si>
  <si>
    <t>C.Graveleau</t>
  </si>
  <si>
    <t>chgraveleau35@gmail.com</t>
  </si>
  <si>
    <t>S.Travers</t>
  </si>
  <si>
    <t>stephanetraversfpa@gmail.com</t>
  </si>
  <si>
    <t>C.Geffroy</t>
  </si>
  <si>
    <t>christelegeffroy8@gmail.com</t>
  </si>
  <si>
    <t>lundi</t>
  </si>
  <si>
    <t xml:space="preserve"> NDRC 4</t>
  </si>
  <si>
    <t>Négociation</t>
  </si>
  <si>
    <t>Digitalisation</t>
  </si>
  <si>
    <t>L.Coulibaly</t>
  </si>
  <si>
    <t>laurentcoulibaly74@gmail.com</t>
  </si>
  <si>
    <t>Animation</t>
  </si>
  <si>
    <t xml:space="preserve">kathykous87@gmail.com </t>
  </si>
  <si>
    <t xml:space="preserve">semaine </t>
  </si>
  <si>
    <t>NDRC 5</t>
  </si>
  <si>
    <t>A.Le Dily</t>
  </si>
  <si>
    <t>NDRC 6</t>
  </si>
  <si>
    <t>J.Y.Trubert</t>
  </si>
  <si>
    <t>trubertjy@gmail.com</t>
  </si>
  <si>
    <t>GPME</t>
  </si>
  <si>
    <t>A.C. Gauthier</t>
  </si>
  <si>
    <t>annece.gauthier@gmail.com</t>
  </si>
  <si>
    <t>R.Prechtl</t>
  </si>
  <si>
    <t>prechtlrenate@gmail.com</t>
  </si>
  <si>
    <t>Com E/O</t>
  </si>
  <si>
    <t>M.Poirrier</t>
  </si>
  <si>
    <t>melanie.poirriervodungbo@gmail.com</t>
  </si>
  <si>
    <t>GR</t>
  </si>
  <si>
    <t>C.Soudy</t>
  </si>
  <si>
    <t>catherine.soudy@orange.fr</t>
  </si>
  <si>
    <t>GRH</t>
  </si>
  <si>
    <t>M.Turuban</t>
  </si>
  <si>
    <t>magalie-turuban@wanadoo.fr</t>
  </si>
  <si>
    <t>GRCF</t>
  </si>
  <si>
    <t>D.Buffard</t>
  </si>
  <si>
    <t>danyhommettebuffardlodimaouest@gmail.com</t>
  </si>
  <si>
    <t>SFDPME</t>
  </si>
  <si>
    <t>Mail</t>
  </si>
  <si>
    <t>BLOC 1</t>
  </si>
  <si>
    <t>BLOC 2</t>
  </si>
  <si>
    <t>BLOC 3</t>
  </si>
  <si>
    <t>A.Verbruggen</t>
  </si>
  <si>
    <t>averbruggenlodima@gmail.com</t>
  </si>
  <si>
    <t>semaine</t>
  </si>
  <si>
    <t>E.Gorain</t>
  </si>
  <si>
    <t>emmanuel.gorain@grn-expertises.fr</t>
  </si>
  <si>
    <t>BAC 22</t>
  </si>
  <si>
    <t>Espagnol</t>
  </si>
  <si>
    <t>K.Aignel</t>
  </si>
  <si>
    <t>kaignel@gmail.com</t>
  </si>
  <si>
    <t>Arts appliqués</t>
  </si>
  <si>
    <t>G.Ortega</t>
  </si>
  <si>
    <t>geraldineortega1974@gmail.com</t>
  </si>
  <si>
    <t>Français</t>
  </si>
  <si>
    <t>Maths</t>
  </si>
  <si>
    <t>C.Hervieu</t>
  </si>
  <si>
    <t>objectifmaths35@gmail.com</t>
  </si>
  <si>
    <t>Bloc 1+3+CO</t>
  </si>
  <si>
    <t>Bloc 2+4</t>
  </si>
  <si>
    <t>Histoire géo</t>
  </si>
  <si>
    <t>F.Pléau</t>
  </si>
  <si>
    <t>fredericlodima@gmail.com</t>
  </si>
  <si>
    <t>Economie droit</t>
  </si>
  <si>
    <t>PSE</t>
  </si>
  <si>
    <t>EPS</t>
  </si>
  <si>
    <t>E.Hautin</t>
  </si>
  <si>
    <t>lenya35.pro@gmail.com</t>
  </si>
  <si>
    <t>BAC 23</t>
  </si>
  <si>
    <t>J.Presse</t>
  </si>
  <si>
    <t>moijo.jp@gmail.com</t>
  </si>
  <si>
    <t>J.Brouard</t>
  </si>
  <si>
    <t>joris.brouard@gmail.com</t>
  </si>
  <si>
    <t>BAC 24</t>
  </si>
  <si>
    <t>BAC 25</t>
  </si>
  <si>
    <t>Mastère1</t>
  </si>
  <si>
    <t>Management 2</t>
  </si>
  <si>
    <t>Retail</t>
  </si>
  <si>
    <t>Wholesale</t>
  </si>
  <si>
    <t>Transformation digitale</t>
  </si>
  <si>
    <t>Semaine</t>
  </si>
  <si>
    <t>Mastère2</t>
  </si>
  <si>
    <t>Stratégie commerciale 1</t>
  </si>
  <si>
    <t>Stratégie commerciale 2</t>
  </si>
  <si>
    <t>T.Sitruk</t>
  </si>
  <si>
    <t>tsitruklodima@gmail.com</t>
  </si>
  <si>
    <t>Finance d'entreprise</t>
  </si>
  <si>
    <t>S.Kabore</t>
  </si>
  <si>
    <t>soulka@gmail.com</t>
  </si>
  <si>
    <t>Management d'entreprise</t>
  </si>
  <si>
    <t>M.Charruault</t>
  </si>
  <si>
    <t>charruault.marc@gmail.com</t>
  </si>
  <si>
    <t>Méthodologie de projet</t>
  </si>
  <si>
    <t>Cora 24-25</t>
  </si>
  <si>
    <t>EC2</t>
  </si>
  <si>
    <t>Jeudi</t>
  </si>
  <si>
    <t>BAC PRO 26</t>
  </si>
  <si>
    <t>BAC PRO 27</t>
  </si>
  <si>
    <t>BTS MCO 99</t>
  </si>
  <si>
    <t>BTS MCO 101</t>
  </si>
  <si>
    <t>BTS MCO 103</t>
  </si>
  <si>
    <t>BTS MCO 105</t>
  </si>
  <si>
    <t>BTS GPME 2</t>
  </si>
  <si>
    <t>BTS NDRC 7</t>
  </si>
  <si>
    <t>M3</t>
  </si>
  <si>
    <t xml:space="preserve">Lundi </t>
  </si>
  <si>
    <t>BAC PRO 28</t>
  </si>
  <si>
    <t>BAC PRO 29</t>
  </si>
  <si>
    <t>EC 4</t>
  </si>
  <si>
    <r>
      <t xml:space="preserve">    </t>
    </r>
    <r>
      <rPr>
        <b/>
        <sz val="28"/>
        <color theme="0"/>
        <rFont val="Verdana"/>
        <family val="2"/>
      </rPr>
      <t>'</t>
    </r>
    <r>
      <rPr>
        <b/>
        <sz val="28"/>
        <color rgb="FF000000"/>
        <rFont val="Verdana"/>
        <family val="2"/>
      </rPr>
      <t xml:space="preserve">   SEPTEMBRE 2026</t>
    </r>
  </si>
  <si>
    <t>BTS MCO 107</t>
  </si>
  <si>
    <t>BTS MCO 109</t>
  </si>
  <si>
    <t>BTS MCO 111</t>
  </si>
  <si>
    <t>BTS GPME 3</t>
  </si>
  <si>
    <t>BTS NDRC 9</t>
  </si>
  <si>
    <t>RDC 18</t>
  </si>
  <si>
    <t>RDC 20</t>
  </si>
  <si>
    <t>RH 2</t>
  </si>
  <si>
    <t>M4</t>
  </si>
  <si>
    <t xml:space="preserve">      SEPTEMBRE 2026</t>
  </si>
  <si>
    <t>EVPM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</si>
</sst>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28"/>
      <color rgb="FF000000"/>
      <name val="Verdana"/>
      <family val="2"/>
    </font>
    <font>
      <b/>
      <sz val="28"/>
      <color theme="0"/>
      <name val="Verdana"/>
      <family val="2"/>
    </font>
    <font>
      <b/>
      <sz val="20"/>
      <color rgb="FF000000"/>
      <name val="Verdana"/>
      <family val="2"/>
    </font>
    <font>
      <b/>
      <sz val="12"/>
      <color rgb="FF000000"/>
      <name val="Verdana"/>
      <family val="2"/>
    </font>
    <font>
      <b/>
      <sz val="12"/>
      <color theme="1"/>
      <name val="Verdana"/>
      <family val="2"/>
    </font>
    <font>
      <sz val="9"/>
      <color rgb="FF000000"/>
      <name val="Verdana"/>
      <family val="2"/>
    </font>
    <font>
      <sz val="9"/>
      <color rgb="FFFF0000"/>
      <name val="Verdana"/>
      <family val="2"/>
    </font>
    <font>
      <b/>
      <sz val="9"/>
      <color rgb="FF000000"/>
      <name val="Verdana"/>
      <family val="2"/>
    </font>
    <font>
      <sz val="7"/>
      <color rgb="FF000000"/>
      <name val="Verdan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CCECFF"/>
      </patternFill>
    </fill>
    <fill>
      <patternFill patternType="solid">
        <fgColor theme="0" tint="-0.249977111117893"/>
        <bgColor rgb="FFFF66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rgb="FFD72783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DFDA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BDFFEE"/>
        <bgColor indexed="64"/>
      </patternFill>
    </fill>
    <fill>
      <patternFill patternType="solid">
        <fgColor theme="7" tint="0.39997558519241921"/>
        <bgColor rgb="FFFFCCCC"/>
      </patternFill>
    </fill>
    <fill>
      <patternFill patternType="solid">
        <fgColor rgb="FFCCCCFF"/>
        <bgColor indexed="64"/>
      </patternFill>
    </fill>
    <fill>
      <patternFill patternType="solid">
        <fgColor rgb="FFD4D0BE"/>
        <bgColor rgb="FFD4D0BE"/>
      </patternFill>
    </fill>
    <fill>
      <patternFill patternType="solid">
        <fgColor rgb="FFD4D0BE"/>
        <bgColor indexed="64"/>
      </patternFill>
    </fill>
    <fill>
      <patternFill patternType="solid">
        <fgColor rgb="FFEE7E3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2" tint="-9.9978637043366805E-2"/>
        <bgColor rgb="FFA6A6A6"/>
      </patternFill>
    </fill>
    <fill>
      <patternFill patternType="solid">
        <fgColor rgb="FFFBC9E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CCFF99"/>
      </patternFill>
    </fill>
    <fill>
      <patternFill patternType="solid">
        <fgColor rgb="FFFF7C80"/>
        <bgColor rgb="FFEF456D"/>
      </patternFill>
    </fill>
    <fill>
      <patternFill patternType="solid">
        <fgColor rgb="FFFF7C80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EB6E19"/>
        <bgColor rgb="FFD72783"/>
      </patternFill>
    </fill>
    <fill>
      <patternFill patternType="solid">
        <fgColor rgb="FFFFCC2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CC99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03">
    <xf numFmtId="0" fontId="0" fillId="0" borderId="0" xfId="0"/>
    <xf numFmtId="0" fontId="1" fillId="0" borderId="0" xfId="0" applyFont="1" applyAlignment="1">
      <alignment horizontal="center" vertical="center"/>
    </xf>
    <xf numFmtId="17" fontId="2" fillId="0" borderId="0" xfId="0" applyNumberFormat="1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/>
    <xf numFmtId="0" fontId="13" fillId="0" borderId="0" xfId="0" applyFont="1"/>
    <xf numFmtId="0" fontId="14" fillId="0" borderId="49" xfId="0" applyFont="1" applyBorder="1"/>
    <xf numFmtId="0" fontId="14" fillId="0" borderId="50" xfId="0" applyFont="1" applyBorder="1"/>
    <xf numFmtId="0" fontId="14" fillId="0" borderId="51" xfId="0" applyFont="1" applyBorder="1"/>
    <xf numFmtId="0" fontId="0" fillId="0" borderId="52" xfId="0" applyBorder="1"/>
    <xf numFmtId="0" fontId="0" fillId="0" borderId="53" xfId="0" applyBorder="1"/>
    <xf numFmtId="0" fontId="12" fillId="0" borderId="54" xfId="1" applyBorder="1"/>
    <xf numFmtId="0" fontId="15" fillId="0" borderId="55" xfId="0" applyFont="1" applyBorder="1"/>
    <xf numFmtId="0" fontId="0" fillId="0" borderId="56" xfId="0" applyBorder="1"/>
    <xf numFmtId="0" fontId="15" fillId="0" borderId="0" xfId="0" applyFont="1" applyBorder="1"/>
    <xf numFmtId="0" fontId="0" fillId="0" borderId="0" xfId="0" applyBorder="1"/>
    <xf numFmtId="0" fontId="0" fillId="0" borderId="54" xfId="0" applyBorder="1"/>
    <xf numFmtId="0" fontId="0" fillId="0" borderId="55" xfId="0" applyBorder="1"/>
    <xf numFmtId="0" fontId="15" fillId="0" borderId="55" xfId="0" applyFont="1" applyFill="1" applyBorder="1"/>
    <xf numFmtId="0" fontId="0" fillId="0" borderId="57" xfId="0" applyBorder="1"/>
    <xf numFmtId="0" fontId="0" fillId="0" borderId="58" xfId="0" applyBorder="1"/>
    <xf numFmtId="0" fontId="14" fillId="0" borderId="59" xfId="0" applyFont="1" applyBorder="1"/>
    <xf numFmtId="0" fontId="0" fillId="0" borderId="60" xfId="0" applyBorder="1"/>
    <xf numFmtId="0" fontId="0" fillId="0" borderId="61" xfId="0" applyBorder="1"/>
    <xf numFmtId="0" fontId="12" fillId="0" borderId="62" xfId="1" applyBorder="1"/>
    <xf numFmtId="0" fontId="0" fillId="0" borderId="62" xfId="0" applyBorder="1"/>
    <xf numFmtId="0" fontId="5" fillId="0" borderId="21" xfId="0" applyFont="1" applyBorder="1" applyAlignment="1">
      <alignment horizontal="center" vertical="center"/>
    </xf>
    <xf numFmtId="0" fontId="0" fillId="0" borderId="0" xfId="0"/>
    <xf numFmtId="0" fontId="1" fillId="2" borderId="33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0" xfId="0"/>
    <xf numFmtId="0" fontId="5" fillId="2" borderId="46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4" borderId="2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7" fillId="2" borderId="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/>
    </xf>
    <xf numFmtId="0" fontId="0" fillId="10" borderId="0" xfId="0" applyFill="1" applyBorder="1" applyAlignment="1"/>
    <xf numFmtId="0" fontId="0" fillId="10" borderId="0" xfId="0" applyFont="1" applyFill="1" applyBorder="1" applyAlignment="1">
      <alignment horizontal="center"/>
    </xf>
    <xf numFmtId="0" fontId="0" fillId="10" borderId="0" xfId="0" applyFont="1" applyFill="1" applyBorder="1" applyAlignment="1"/>
    <xf numFmtId="0" fontId="11" fillId="10" borderId="21" xfId="0" applyFont="1" applyFill="1" applyBorder="1" applyAlignment="1"/>
    <xf numFmtId="0" fontId="11" fillId="10" borderId="23" xfId="0" applyFont="1" applyFill="1" applyBorder="1" applyAlignment="1"/>
    <xf numFmtId="0" fontId="11" fillId="10" borderId="2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" fillId="29" borderId="1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4" borderId="2" xfId="0" applyFill="1" applyBorder="1"/>
    <xf numFmtId="0" fontId="0" fillId="4" borderId="0" xfId="0" applyFill="1" applyBorder="1"/>
    <xf numFmtId="0" fontId="0" fillId="0" borderId="0" xfId="0"/>
    <xf numFmtId="0" fontId="5" fillId="10" borderId="4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10" borderId="40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1" fillId="10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1" fillId="10" borderId="40" xfId="0" applyFont="1" applyFill="1" applyBorder="1" applyAlignment="1">
      <alignment horizontal="center"/>
    </xf>
    <xf numFmtId="0" fontId="11" fillId="10" borderId="0" xfId="0" applyFont="1" applyFill="1" applyBorder="1" applyAlignment="1">
      <alignment horizontal="center"/>
    </xf>
    <xf numFmtId="0" fontId="11" fillId="10" borderId="46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center"/>
    </xf>
    <xf numFmtId="0" fontId="0" fillId="0" borderId="0" xfId="0"/>
    <xf numFmtId="0" fontId="11" fillId="10" borderId="15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3" xfId="0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0" fontId="17" fillId="0" borderId="33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11" fillId="31" borderId="16" xfId="0" applyFont="1" applyFill="1" applyBorder="1" applyAlignment="1">
      <alignment horizontal="center"/>
    </xf>
    <xf numFmtId="0" fontId="11" fillId="31" borderId="32" xfId="0" applyFont="1" applyFill="1" applyBorder="1" applyAlignment="1">
      <alignment horizontal="center"/>
    </xf>
    <xf numFmtId="0" fontId="0" fillId="31" borderId="7" xfId="0" applyFont="1" applyFill="1" applyBorder="1" applyAlignment="1">
      <alignment horizontal="center"/>
    </xf>
    <xf numFmtId="0" fontId="0" fillId="31" borderId="33" xfId="0" applyFont="1" applyFill="1" applyBorder="1" applyAlignment="1">
      <alignment horizontal="center"/>
    </xf>
    <xf numFmtId="0" fontId="11" fillId="31" borderId="34" xfId="0" applyFont="1" applyFill="1" applyBorder="1" applyAlignment="1">
      <alignment horizontal="center"/>
    </xf>
    <xf numFmtId="0" fontId="11" fillId="31" borderId="35" xfId="0" applyFont="1" applyFill="1" applyBorder="1" applyAlignment="1">
      <alignment horizontal="center"/>
    </xf>
    <xf numFmtId="0" fontId="11" fillId="31" borderId="36" xfId="0" applyFont="1" applyFill="1" applyBorder="1" applyAlignment="1">
      <alignment horizontal="center"/>
    </xf>
    <xf numFmtId="0" fontId="11" fillId="31" borderId="37" xfId="0" applyFont="1" applyFill="1" applyBorder="1" applyAlignment="1">
      <alignment horizontal="center"/>
    </xf>
    <xf numFmtId="0" fontId="0" fillId="0" borderId="0" xfId="0"/>
    <xf numFmtId="0" fontId="11" fillId="31" borderId="38" xfId="0" applyFont="1" applyFill="1" applyBorder="1" applyAlignment="1">
      <alignment horizontal="center"/>
    </xf>
    <xf numFmtId="0" fontId="11" fillId="31" borderId="39" xfId="0" applyFont="1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1" fillId="5" borderId="33" xfId="0" applyFont="1" applyFill="1" applyBorder="1" applyAlignment="1">
      <alignment horizontal="center" vertical="center"/>
    </xf>
    <xf numFmtId="0" fontId="0" fillId="24" borderId="65" xfId="0" applyFill="1" applyBorder="1" applyAlignment="1">
      <alignment horizontal="center"/>
    </xf>
    <xf numFmtId="1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66" xfId="0" applyFill="1" applyBorder="1" applyAlignment="1">
      <alignment horizontal="center"/>
    </xf>
    <xf numFmtId="0" fontId="0" fillId="0" borderId="6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8" borderId="7" xfId="0" applyFont="1" applyFill="1" applyBorder="1" applyAlignment="1">
      <alignment horizontal="center"/>
    </xf>
    <xf numFmtId="0" fontId="0" fillId="38" borderId="10" xfId="0" applyFont="1" applyFill="1" applyBorder="1" applyAlignment="1">
      <alignment horizontal="center"/>
    </xf>
    <xf numFmtId="0" fontId="11" fillId="38" borderId="43" xfId="0" applyFont="1" applyFill="1" applyBorder="1" applyAlignment="1">
      <alignment horizontal="center"/>
    </xf>
    <xf numFmtId="0" fontId="11" fillId="38" borderId="31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73" xfId="0" applyFont="1" applyFill="1" applyBorder="1" applyAlignment="1">
      <alignment horizontal="center"/>
    </xf>
    <xf numFmtId="0" fontId="11" fillId="38" borderId="34" xfId="0" applyFont="1" applyFill="1" applyBorder="1" applyAlignment="1">
      <alignment horizontal="center"/>
    </xf>
    <xf numFmtId="0" fontId="11" fillId="38" borderId="35" xfId="0" applyFont="1" applyFill="1" applyBorder="1" applyAlignment="1">
      <alignment horizontal="center"/>
    </xf>
    <xf numFmtId="0" fontId="11" fillId="38" borderId="36" xfId="0" applyFont="1" applyFill="1" applyBorder="1" applyAlignment="1">
      <alignment horizontal="center"/>
    </xf>
    <xf numFmtId="0" fontId="11" fillId="38" borderId="7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5" fillId="38" borderId="8" xfId="0" applyFont="1" applyFill="1" applyBorder="1" applyAlignment="1">
      <alignment horizontal="center" vertical="center"/>
    </xf>
    <xf numFmtId="0" fontId="5" fillId="38" borderId="9" xfId="0" applyFont="1" applyFill="1" applyBorder="1" applyAlignment="1">
      <alignment horizontal="center" vertical="center"/>
    </xf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0" fillId="26" borderId="7" xfId="0" applyFont="1" applyFill="1" applyBorder="1" applyAlignment="1">
      <alignment horizontal="center"/>
    </xf>
    <xf numFmtId="0" fontId="0" fillId="26" borderId="33" xfId="0" applyFont="1" applyFill="1" applyBorder="1" applyAlignment="1">
      <alignment horizontal="center"/>
    </xf>
    <xf numFmtId="0" fontId="11" fillId="26" borderId="34" xfId="0" applyFont="1" applyFill="1" applyBorder="1" applyAlignment="1">
      <alignment horizontal="center"/>
    </xf>
    <xf numFmtId="0" fontId="11" fillId="26" borderId="35" xfId="0" applyFont="1" applyFill="1" applyBorder="1" applyAlignment="1">
      <alignment horizontal="center"/>
    </xf>
    <xf numFmtId="0" fontId="11" fillId="26" borderId="36" xfId="0" applyFont="1" applyFill="1" applyBorder="1" applyAlignment="1">
      <alignment horizontal="center"/>
    </xf>
    <xf numFmtId="0" fontId="11" fillId="26" borderId="37" xfId="0" applyFont="1" applyFill="1" applyBorder="1" applyAlignment="1">
      <alignment horizontal="center"/>
    </xf>
    <xf numFmtId="0" fontId="11" fillId="26" borderId="38" xfId="0" applyFont="1" applyFill="1" applyBorder="1" applyAlignment="1">
      <alignment horizontal="center"/>
    </xf>
    <xf numFmtId="0" fontId="11" fillId="26" borderId="39" xfId="0" applyFont="1" applyFill="1" applyBorder="1" applyAlignment="1">
      <alignment horizontal="center"/>
    </xf>
    <xf numFmtId="0" fontId="11" fillId="26" borderId="16" xfId="0" applyFont="1" applyFill="1" applyBorder="1" applyAlignment="1">
      <alignment horizontal="center"/>
    </xf>
    <xf numFmtId="0" fontId="11" fillId="26" borderId="32" xfId="0" applyFont="1" applyFill="1" applyBorder="1" applyAlignment="1">
      <alignment horizontal="center"/>
    </xf>
    <xf numFmtId="0" fontId="11" fillId="31" borderId="38" xfId="0" applyFont="1" applyFill="1" applyBorder="1" applyAlignment="1">
      <alignment horizontal="center"/>
    </xf>
    <xf numFmtId="0" fontId="11" fillId="31" borderId="39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0" xfId="0"/>
    <xf numFmtId="0" fontId="0" fillId="31" borderId="7" xfId="0" applyFont="1" applyFill="1" applyBorder="1" applyAlignment="1">
      <alignment horizontal="center"/>
    </xf>
    <xf numFmtId="0" fontId="0" fillId="31" borderId="33" xfId="0" applyFont="1" applyFill="1" applyBorder="1" applyAlignment="1">
      <alignment horizontal="center"/>
    </xf>
    <xf numFmtId="0" fontId="11" fillId="17" borderId="16" xfId="0" applyFont="1" applyFill="1" applyBorder="1" applyAlignment="1">
      <alignment horizontal="center"/>
    </xf>
    <xf numFmtId="0" fontId="11" fillId="17" borderId="32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31" borderId="16" xfId="0" applyFont="1" applyFill="1" applyBorder="1" applyAlignment="1">
      <alignment horizontal="center"/>
    </xf>
    <xf numFmtId="0" fontId="11" fillId="31" borderId="32" xfId="0" applyFont="1" applyFill="1" applyBorder="1" applyAlignment="1">
      <alignment horizontal="center"/>
    </xf>
    <xf numFmtId="0" fontId="11" fillId="31" borderId="34" xfId="0" applyFont="1" applyFill="1" applyBorder="1" applyAlignment="1">
      <alignment horizontal="center"/>
    </xf>
    <xf numFmtId="0" fontId="11" fillId="31" borderId="35" xfId="0" applyFont="1" applyFill="1" applyBorder="1" applyAlignment="1">
      <alignment horizontal="center"/>
    </xf>
    <xf numFmtId="0" fontId="11" fillId="31" borderId="36" xfId="0" applyFont="1" applyFill="1" applyBorder="1" applyAlignment="1">
      <alignment horizontal="center"/>
    </xf>
    <xf numFmtId="0" fontId="11" fillId="31" borderId="37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0" fontId="17" fillId="0" borderId="32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0" fontId="17" fillId="0" borderId="33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17" fillId="0" borderId="39" xfId="0" applyFont="1" applyFill="1" applyBorder="1" applyAlignment="1">
      <alignment horizontal="center"/>
    </xf>
    <xf numFmtId="0" fontId="0" fillId="27" borderId="7" xfId="0" applyFont="1" applyFill="1" applyBorder="1" applyAlignment="1">
      <alignment horizontal="center"/>
    </xf>
    <xf numFmtId="0" fontId="0" fillId="27" borderId="33" xfId="0" applyFont="1" applyFill="1" applyBorder="1" applyAlignment="1">
      <alignment horizontal="center"/>
    </xf>
    <xf numFmtId="0" fontId="11" fillId="27" borderId="7" xfId="0" applyFont="1" applyFill="1" applyBorder="1" applyAlignment="1">
      <alignment horizontal="center"/>
    </xf>
    <xf numFmtId="0" fontId="11" fillId="27" borderId="33" xfId="0" applyFont="1" applyFill="1" applyBorder="1" applyAlignment="1">
      <alignment horizontal="center"/>
    </xf>
    <xf numFmtId="0" fontId="11" fillId="27" borderId="36" xfId="0" applyFont="1" applyFill="1" applyBorder="1" applyAlignment="1" applyProtection="1">
      <alignment horizontal="center"/>
      <protection locked="0"/>
    </xf>
    <xf numFmtId="0" fontId="11" fillId="27" borderId="37" xfId="0" applyFont="1" applyFill="1" applyBorder="1" applyAlignment="1" applyProtection="1">
      <alignment horizontal="center"/>
      <protection locked="0"/>
    </xf>
    <xf numFmtId="0" fontId="11" fillId="27" borderId="38" xfId="0" applyFont="1" applyFill="1" applyBorder="1" applyAlignment="1">
      <alignment horizontal="center"/>
    </xf>
    <xf numFmtId="0" fontId="11" fillId="27" borderId="39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1" fillId="27" borderId="16" xfId="0" applyFont="1" applyFill="1" applyBorder="1" applyAlignment="1" applyProtection="1">
      <alignment horizontal="center"/>
      <protection locked="0"/>
    </xf>
    <xf numFmtId="0" fontId="11" fillId="27" borderId="32" xfId="0" applyFont="1" applyFill="1" applyBorder="1" applyAlignment="1" applyProtection="1">
      <alignment horizontal="center"/>
      <protection locked="0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33" xfId="0" applyFont="1" applyFill="1" applyBorder="1" applyAlignment="1" applyProtection="1">
      <alignment horizontal="center"/>
      <protection locked="0"/>
    </xf>
    <xf numFmtId="0" fontId="0" fillId="0" borderId="3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11" fillId="27" borderId="34" xfId="0" applyFont="1" applyFill="1" applyBorder="1" applyAlignment="1">
      <alignment horizontal="center"/>
    </xf>
    <xf numFmtId="0" fontId="11" fillId="27" borderId="35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17" borderId="7" xfId="0" applyFont="1" applyFill="1" applyBorder="1" applyAlignment="1">
      <alignment horizontal="center"/>
    </xf>
    <xf numFmtId="0" fontId="0" fillId="17" borderId="33" xfId="0" applyFont="1" applyFill="1" applyBorder="1" applyAlignment="1">
      <alignment horizontal="center"/>
    </xf>
    <xf numFmtId="0" fontId="11" fillId="17" borderId="38" xfId="0" applyFont="1" applyFill="1" applyBorder="1" applyAlignment="1">
      <alignment horizontal="center"/>
    </xf>
    <xf numFmtId="0" fontId="11" fillId="17" borderId="39" xfId="0" applyFont="1" applyFill="1" applyBorder="1" applyAlignment="1">
      <alignment horizontal="center"/>
    </xf>
    <xf numFmtId="0" fontId="0" fillId="15" borderId="47" xfId="0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24" borderId="27" xfId="0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7" borderId="35" xfId="0" applyFont="1" applyFill="1" applyBorder="1" applyAlignment="1">
      <alignment horizontal="center"/>
    </xf>
    <xf numFmtId="0" fontId="11" fillId="17" borderId="36" xfId="0" applyFont="1" applyFill="1" applyBorder="1" applyAlignment="1">
      <alignment horizontal="center"/>
    </xf>
    <xf numFmtId="0" fontId="11" fillId="17" borderId="37" xfId="0" applyFont="1" applyFill="1" applyBorder="1" applyAlignment="1">
      <alignment horizontal="center"/>
    </xf>
    <xf numFmtId="0" fontId="0" fillId="23" borderId="7" xfId="0" applyFont="1" applyFill="1" applyBorder="1" applyAlignment="1">
      <alignment horizontal="center"/>
    </xf>
    <xf numFmtId="0" fontId="0" fillId="0" borderId="43" xfId="0" applyFont="1" applyFill="1" applyBorder="1" applyAlignment="1">
      <alignment horizontal="center"/>
    </xf>
    <xf numFmtId="0" fontId="0" fillId="0" borderId="44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11" fillId="23" borderId="34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11" fillId="34" borderId="34" xfId="0" applyFont="1" applyFill="1" applyBorder="1" applyAlignment="1">
      <alignment horizontal="center"/>
    </xf>
    <xf numFmtId="0" fontId="11" fillId="34" borderId="35" xfId="0" applyFont="1" applyFill="1" applyBorder="1" applyAlignment="1">
      <alignment horizontal="center"/>
    </xf>
    <xf numFmtId="0" fontId="11" fillId="18" borderId="38" xfId="0" applyFont="1" applyFill="1" applyBorder="1" applyAlignment="1">
      <alignment horizontal="center"/>
    </xf>
    <xf numFmtId="0" fontId="11" fillId="18" borderId="39" xfId="0" applyFont="1" applyFill="1" applyBorder="1" applyAlignment="1">
      <alignment horizontal="center"/>
    </xf>
    <xf numFmtId="0" fontId="11" fillId="18" borderId="36" xfId="0" applyFont="1" applyFill="1" applyBorder="1" applyAlignment="1">
      <alignment horizontal="center"/>
    </xf>
    <xf numFmtId="0" fontId="11" fillId="18" borderId="37" xfId="0" applyFont="1" applyFill="1" applyBorder="1" applyAlignment="1">
      <alignment horizontal="center"/>
    </xf>
    <xf numFmtId="0" fontId="11" fillId="15" borderId="74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0" fillId="18" borderId="7" xfId="0" applyFont="1" applyFill="1" applyBorder="1" applyAlignment="1">
      <alignment horizontal="center"/>
    </xf>
    <xf numFmtId="0" fontId="0" fillId="18" borderId="33" xfId="0" applyFont="1" applyFill="1" applyBorder="1" applyAlignment="1">
      <alignment horizontal="center"/>
    </xf>
    <xf numFmtId="0" fontId="11" fillId="23" borderId="7" xfId="0" applyFont="1" applyFill="1" applyBorder="1" applyAlignment="1">
      <alignment horizontal="center"/>
    </xf>
    <xf numFmtId="0" fontId="11" fillId="34" borderId="7" xfId="0" applyFont="1" applyFill="1" applyBorder="1" applyAlignment="1">
      <alignment horizontal="center"/>
    </xf>
    <xf numFmtId="0" fontId="11" fillId="34" borderId="33" xfId="0" applyFont="1" applyFill="1" applyBorder="1" applyAlignment="1">
      <alignment horizontal="center"/>
    </xf>
    <xf numFmtId="0" fontId="11" fillId="18" borderId="34" xfId="0" applyFont="1" applyFill="1" applyBorder="1" applyAlignment="1">
      <alignment horizontal="center"/>
    </xf>
    <xf numFmtId="0" fontId="11" fillId="18" borderId="35" xfId="0" applyFon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0" fillId="34" borderId="7" xfId="0" applyFont="1" applyFill="1" applyBorder="1" applyAlignment="1">
      <alignment horizontal="center"/>
    </xf>
    <xf numFmtId="0" fontId="0" fillId="34" borderId="33" xfId="0" applyFon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0" borderId="66" xfId="0" applyFont="1" applyFill="1" applyBorder="1" applyAlignment="1">
      <alignment horizontal="center"/>
    </xf>
    <xf numFmtId="0" fontId="0" fillId="0" borderId="67" xfId="0" applyFont="1" applyFill="1" applyBorder="1" applyAlignment="1">
      <alignment horizontal="center"/>
    </xf>
    <xf numFmtId="0" fontId="11" fillId="23" borderId="36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11" fillId="34" borderId="36" xfId="0" applyFont="1" applyFill="1" applyBorder="1" applyAlignment="1">
      <alignment horizontal="center"/>
    </xf>
    <xf numFmtId="0" fontId="11" fillId="34" borderId="37" xfId="0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11" fillId="11" borderId="30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0" fontId="11" fillId="39" borderId="38" xfId="0" applyFont="1" applyFill="1" applyBorder="1" applyAlignment="1">
      <alignment horizontal="center"/>
    </xf>
    <xf numFmtId="0" fontId="11" fillId="39" borderId="39" xfId="0" applyFont="1" applyFill="1" applyBorder="1" applyAlignment="1">
      <alignment horizontal="center"/>
    </xf>
    <xf numFmtId="0" fontId="11" fillId="21" borderId="38" xfId="0" applyFont="1" applyFill="1" applyBorder="1" applyAlignment="1">
      <alignment horizontal="center"/>
    </xf>
    <xf numFmtId="0" fontId="11" fillId="21" borderId="39" xfId="0" applyFont="1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0" fillId="17" borderId="39" xfId="0" applyFill="1" applyBorder="1" applyAlignment="1">
      <alignment horizontal="center"/>
    </xf>
    <xf numFmtId="0" fontId="11" fillId="39" borderId="36" xfId="0" applyFont="1" applyFill="1" applyBorder="1" applyAlignment="1" applyProtection="1">
      <alignment horizontal="center"/>
      <protection locked="0"/>
    </xf>
    <xf numFmtId="0" fontId="11" fillId="39" borderId="37" xfId="0" applyFont="1" applyFill="1" applyBorder="1" applyAlignment="1" applyProtection="1">
      <alignment horizontal="center"/>
      <protection locked="0"/>
    </xf>
    <xf numFmtId="0" fontId="11" fillId="21" borderId="36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/>
    </xf>
    <xf numFmtId="0" fontId="0" fillId="39" borderId="7" xfId="0" applyFill="1" applyBorder="1" applyAlignment="1" applyProtection="1">
      <alignment horizontal="center"/>
    </xf>
    <xf numFmtId="0" fontId="0" fillId="39" borderId="33" xfId="0" applyFill="1" applyBorder="1" applyAlignment="1" applyProtection="1">
      <alignment horizontal="center"/>
    </xf>
    <xf numFmtId="0" fontId="0" fillId="21" borderId="7" xfId="0" applyFont="1" applyFill="1" applyBorder="1" applyAlignment="1">
      <alignment horizontal="center"/>
    </xf>
    <xf numFmtId="0" fontId="0" fillId="21" borderId="33" xfId="0" applyFont="1" applyFill="1" applyBorder="1" applyAlignment="1">
      <alignment horizontal="center"/>
    </xf>
    <xf numFmtId="0" fontId="0" fillId="11" borderId="5" xfId="0" applyFont="1" applyFill="1" applyBorder="1" applyAlignment="1">
      <alignment horizontal="center"/>
    </xf>
    <xf numFmtId="0" fontId="0" fillId="11" borderId="10" xfId="0" applyFont="1" applyFill="1" applyBorder="1" applyAlignment="1">
      <alignment horizontal="center"/>
    </xf>
    <xf numFmtId="0" fontId="11" fillId="21" borderId="34" xfId="0" applyFont="1" applyFill="1" applyBorder="1" applyAlignment="1">
      <alignment horizontal="center"/>
    </xf>
    <xf numFmtId="0" fontId="11" fillId="21" borderId="35" xfId="0" applyFont="1" applyFill="1" applyBorder="1" applyAlignment="1">
      <alignment horizontal="center"/>
    </xf>
    <xf numFmtId="0" fontId="11" fillId="11" borderId="68" xfId="0" applyFont="1" applyFill="1" applyBorder="1" applyAlignment="1">
      <alignment horizontal="center"/>
    </xf>
    <xf numFmtId="0" fontId="11" fillId="11" borderId="69" xfId="0" applyFont="1" applyFill="1" applyBorder="1" applyAlignment="1">
      <alignment horizontal="center"/>
    </xf>
    <xf numFmtId="0" fontId="11" fillId="11" borderId="70" xfId="0" applyFont="1" applyFill="1" applyBorder="1" applyAlignment="1">
      <alignment horizontal="center"/>
    </xf>
    <xf numFmtId="0" fontId="11" fillId="11" borderId="71" xfId="0" applyFont="1" applyFill="1" applyBorder="1" applyAlignment="1">
      <alignment horizontal="center"/>
    </xf>
    <xf numFmtId="0" fontId="11" fillId="39" borderId="34" xfId="0" applyFont="1" applyFill="1" applyBorder="1" applyAlignment="1">
      <alignment horizontal="center"/>
    </xf>
    <xf numFmtId="0" fontId="11" fillId="39" borderId="35" xfId="0" applyFont="1" applyFill="1" applyBorder="1" applyAlignment="1">
      <alignment horizontal="center"/>
    </xf>
    <xf numFmtId="0" fontId="11" fillId="39" borderId="16" xfId="0" applyFont="1" applyFill="1" applyBorder="1" applyAlignment="1" applyProtection="1">
      <alignment horizontal="center"/>
      <protection locked="0"/>
    </xf>
    <xf numFmtId="0" fontId="11" fillId="39" borderId="32" xfId="0" applyFont="1" applyFill="1" applyBorder="1" applyAlignment="1" applyProtection="1">
      <alignment horizontal="center"/>
      <protection locked="0"/>
    </xf>
    <xf numFmtId="0" fontId="11" fillId="21" borderId="16" xfId="0" applyFont="1" applyFill="1" applyBorder="1" applyAlignment="1">
      <alignment horizontal="center"/>
    </xf>
    <xf numFmtId="0" fontId="11" fillId="21" borderId="32" xfId="0" applyFont="1" applyFill="1" applyBorder="1" applyAlignment="1">
      <alignment horizontal="center"/>
    </xf>
    <xf numFmtId="0" fontId="11" fillId="23" borderId="16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18" borderId="16" xfId="0" applyFont="1" applyFill="1" applyBorder="1" applyAlignment="1">
      <alignment horizontal="center"/>
    </xf>
    <xf numFmtId="0" fontId="11" fillId="18" borderId="32" xfId="0" applyFont="1" applyFill="1" applyBorder="1" applyAlignment="1">
      <alignment horizontal="center"/>
    </xf>
    <xf numFmtId="0" fontId="11" fillId="15" borderId="18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7" xfId="0" applyFill="1" applyBorder="1" applyAlignment="1" applyProtection="1">
      <alignment horizontal="center"/>
    </xf>
    <xf numFmtId="0" fontId="0" fillId="0" borderId="33" xfId="0" applyFill="1" applyBorder="1" applyAlignment="1" applyProtection="1">
      <alignment horizontal="center"/>
    </xf>
    <xf numFmtId="0" fontId="0" fillId="16" borderId="27" xfId="0" applyFill="1" applyBorder="1" applyAlignment="1">
      <alignment horizontal="center"/>
    </xf>
    <xf numFmtId="0" fontId="0" fillId="25" borderId="27" xfId="0" applyFill="1" applyBorder="1" applyAlignment="1">
      <alignment horizontal="center"/>
    </xf>
    <xf numFmtId="0" fontId="0" fillId="16" borderId="22" xfId="0" applyFont="1" applyFill="1" applyBorder="1" applyAlignment="1">
      <alignment horizontal="center"/>
    </xf>
    <xf numFmtId="0" fontId="0" fillId="25" borderId="22" xfId="0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9" borderId="35" xfId="0" applyFont="1" applyFill="1" applyBorder="1" applyAlignment="1">
      <alignment horizontal="center"/>
    </xf>
    <xf numFmtId="0" fontId="11" fillId="37" borderId="38" xfId="0" applyFont="1" applyFill="1" applyBorder="1" applyAlignment="1">
      <alignment horizontal="center"/>
    </xf>
    <xf numFmtId="0" fontId="11" fillId="37" borderId="39" xfId="0" applyFont="1" applyFill="1" applyBorder="1" applyAlignment="1">
      <alignment horizontal="center"/>
    </xf>
    <xf numFmtId="0" fontId="11" fillId="16" borderId="22" xfId="0" applyFont="1" applyFill="1" applyBorder="1" applyAlignment="1">
      <alignment horizontal="center"/>
    </xf>
    <xf numFmtId="0" fontId="11" fillId="25" borderId="22" xfId="0" applyFont="1" applyFill="1" applyBorder="1" applyAlignment="1">
      <alignment horizontal="center"/>
    </xf>
    <xf numFmtId="0" fontId="0" fillId="16" borderId="25" xfId="0" applyFill="1" applyBorder="1" applyAlignment="1">
      <alignment horizontal="center"/>
    </xf>
    <xf numFmtId="0" fontId="0" fillId="25" borderId="24" xfId="0" applyFill="1" applyBorder="1" applyAlignment="1">
      <alignment horizontal="center"/>
    </xf>
    <xf numFmtId="0" fontId="0" fillId="19" borderId="7" xfId="0" applyFont="1" applyFill="1" applyBorder="1" applyAlignment="1">
      <alignment horizontal="center"/>
    </xf>
    <xf numFmtId="0" fontId="0" fillId="19" borderId="33" xfId="0" applyFont="1" applyFill="1" applyBorder="1" applyAlignment="1">
      <alignment horizontal="center"/>
    </xf>
    <xf numFmtId="0" fontId="0" fillId="37" borderId="7" xfId="0" applyFont="1" applyFill="1" applyBorder="1" applyAlignment="1">
      <alignment horizontal="center"/>
    </xf>
    <xf numFmtId="0" fontId="0" fillId="37" borderId="33" xfId="0" applyFont="1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11" fillId="16" borderId="18" xfId="0" applyFont="1" applyFill="1" applyBorder="1" applyAlignment="1">
      <alignment horizontal="center"/>
    </xf>
    <xf numFmtId="0" fontId="11" fillId="25" borderId="18" xfId="0" applyFont="1" applyFill="1" applyBorder="1" applyAlignment="1">
      <alignment horizontal="center"/>
    </xf>
    <xf numFmtId="0" fontId="11" fillId="19" borderId="38" xfId="0" applyFont="1" applyFill="1" applyBorder="1" applyAlignment="1">
      <alignment horizontal="center"/>
    </xf>
    <xf numFmtId="0" fontId="11" fillId="19" borderId="39" xfId="0" applyFon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11" fillId="0" borderId="16" xfId="0" applyFont="1" applyFill="1" applyBorder="1" applyAlignment="1" applyProtection="1">
      <alignment horizontal="center"/>
      <protection locked="0"/>
    </xf>
    <xf numFmtId="0" fontId="11" fillId="0" borderId="32" xfId="0" applyFont="1" applyFill="1" applyBorder="1" applyAlignment="1" applyProtection="1">
      <alignment horizontal="center"/>
      <protection locked="0"/>
    </xf>
    <xf numFmtId="0" fontId="11" fillId="19" borderId="36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11" fillId="37" borderId="36" xfId="0" applyFont="1" applyFill="1" applyBorder="1" applyAlignment="1" applyProtection="1">
      <alignment horizontal="center"/>
      <protection locked="0"/>
    </xf>
    <xf numFmtId="0" fontId="11" fillId="37" borderId="37" xfId="0" applyFont="1" applyFill="1" applyBorder="1" applyAlignment="1" applyProtection="1">
      <alignment horizontal="center"/>
      <protection locked="0"/>
    </xf>
    <xf numFmtId="0" fontId="0" fillId="13" borderId="7" xfId="0" applyFill="1" applyBorder="1" applyAlignment="1">
      <alignment horizontal="center"/>
    </xf>
    <xf numFmtId="0" fontId="0" fillId="13" borderId="33" xfId="0" applyFill="1" applyBorder="1" applyAlignment="1">
      <alignment horizontal="center"/>
    </xf>
    <xf numFmtId="0" fontId="11" fillId="37" borderId="34" xfId="0" applyFont="1" applyFill="1" applyBorder="1" applyAlignment="1">
      <alignment horizontal="center"/>
    </xf>
    <xf numFmtId="0" fontId="11" fillId="37" borderId="35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13" borderId="66" xfId="0" applyFill="1" applyBorder="1" applyAlignment="1">
      <alignment horizontal="center"/>
    </xf>
    <xf numFmtId="0" fontId="0" fillId="13" borderId="67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11" fillId="34" borderId="38" xfId="0" applyFont="1" applyFill="1" applyBorder="1" applyAlignment="1">
      <alignment horizontal="center"/>
    </xf>
    <xf numFmtId="0" fontId="11" fillId="34" borderId="39" xfId="0" applyFont="1" applyFill="1" applyBorder="1" applyAlignment="1">
      <alignment horizontal="center"/>
    </xf>
    <xf numFmtId="0" fontId="11" fillId="19" borderId="16" xfId="0" applyFont="1" applyFill="1" applyBorder="1" applyAlignment="1">
      <alignment horizontal="center"/>
    </xf>
    <xf numFmtId="0" fontId="11" fillId="19" borderId="32" xfId="0" applyFont="1" applyFill="1" applyBorder="1" applyAlignment="1">
      <alignment horizontal="center"/>
    </xf>
    <xf numFmtId="0" fontId="19" fillId="37" borderId="16" xfId="0" applyFont="1" applyFill="1" applyBorder="1" applyAlignment="1" applyProtection="1">
      <alignment horizontal="center"/>
      <protection locked="0"/>
    </xf>
    <xf numFmtId="0" fontId="19" fillId="37" borderId="32" xfId="0" applyFont="1" applyFill="1" applyBorder="1" applyAlignment="1" applyProtection="1">
      <alignment horizontal="center"/>
      <protection locked="0"/>
    </xf>
    <xf numFmtId="0" fontId="11" fillId="34" borderId="16" xfId="0" applyFont="1" applyFill="1" applyBorder="1" applyAlignment="1">
      <alignment horizontal="center"/>
    </xf>
    <xf numFmtId="0" fontId="11" fillId="34" borderId="32" xfId="0" applyFont="1" applyFill="1" applyBorder="1" applyAlignment="1">
      <alignment horizontal="center"/>
    </xf>
    <xf numFmtId="0" fontId="0" fillId="0" borderId="72" xfId="0" applyFill="1" applyBorder="1" applyAlignment="1">
      <alignment horizontal="center"/>
    </xf>
    <xf numFmtId="0" fontId="11" fillId="37" borderId="16" xfId="0" applyFont="1" applyFill="1" applyBorder="1" applyAlignment="1" applyProtection="1">
      <alignment horizontal="center"/>
      <protection locked="0"/>
    </xf>
    <xf numFmtId="0" fontId="11" fillId="37" borderId="32" xfId="0" applyFont="1" applyFill="1" applyBorder="1" applyAlignment="1" applyProtection="1">
      <alignment horizontal="center"/>
      <protection locked="0"/>
    </xf>
    <xf numFmtId="0" fontId="11" fillId="24" borderId="18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0" fillId="0" borderId="38" xfId="0" applyFill="1" applyBorder="1" applyAlignment="1" applyProtection="1">
      <alignment horizontal="center"/>
    </xf>
    <xf numFmtId="0" fontId="0" fillId="0" borderId="39" xfId="0" applyFill="1" applyBorder="1" applyAlignment="1" applyProtection="1">
      <alignment horizontal="center"/>
    </xf>
    <xf numFmtId="0" fontId="0" fillId="0" borderId="30" xfId="0" applyFont="1" applyFill="1" applyBorder="1" applyAlignment="1">
      <alignment horizontal="center"/>
    </xf>
    <xf numFmtId="0" fontId="0" fillId="0" borderId="31" xfId="0" applyFont="1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30" borderId="7" xfId="0" applyFont="1" applyFill="1" applyBorder="1" applyAlignment="1">
      <alignment horizontal="center"/>
    </xf>
    <xf numFmtId="0" fontId="0" fillId="30" borderId="33" xfId="0" applyFont="1" applyFill="1" applyBorder="1" applyAlignment="1">
      <alignment horizontal="center"/>
    </xf>
    <xf numFmtId="0" fontId="11" fillId="30" borderId="34" xfId="0" applyFont="1" applyFill="1" applyBorder="1" applyAlignment="1">
      <alignment horizontal="center"/>
    </xf>
    <xf numFmtId="0" fontId="11" fillId="30" borderId="35" xfId="0" applyFont="1" applyFill="1" applyBorder="1" applyAlignment="1">
      <alignment horizontal="center"/>
    </xf>
    <xf numFmtId="0" fontId="11" fillId="30" borderId="36" xfId="0" applyFont="1" applyFill="1" applyBorder="1" applyAlignment="1">
      <alignment horizontal="center"/>
    </xf>
    <xf numFmtId="0" fontId="11" fillId="30" borderId="37" xfId="0" applyFont="1" applyFill="1" applyBorder="1" applyAlignment="1">
      <alignment horizontal="center"/>
    </xf>
    <xf numFmtId="0" fontId="11" fillId="11" borderId="44" xfId="0" applyFont="1" applyFill="1" applyBorder="1" applyAlignment="1">
      <alignment horizontal="center"/>
    </xf>
    <xf numFmtId="0" fontId="11" fillId="30" borderId="16" xfId="0" applyFont="1" applyFill="1" applyBorder="1" applyAlignment="1">
      <alignment horizontal="center"/>
    </xf>
    <xf numFmtId="0" fontId="11" fillId="30" borderId="32" xfId="0" applyFont="1" applyFill="1" applyBorder="1" applyAlignment="1">
      <alignment horizontal="center"/>
    </xf>
    <xf numFmtId="0" fontId="11" fillId="30" borderId="38" xfId="0" applyFont="1" applyFill="1" applyBorder="1" applyAlignment="1">
      <alignment horizontal="center"/>
    </xf>
    <xf numFmtId="0" fontId="11" fillId="30" borderId="39" xfId="0" applyFont="1" applyFill="1" applyBorder="1" applyAlignment="1">
      <alignment horizontal="center"/>
    </xf>
    <xf numFmtId="0" fontId="0" fillId="0" borderId="75" xfId="0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15" xfId="0" applyFill="1" applyBorder="1"/>
    <xf numFmtId="0" fontId="5" fillId="39" borderId="11" xfId="0" applyFont="1" applyFill="1" applyBorder="1" applyAlignment="1">
      <alignment horizontal="center" vertical="center"/>
    </xf>
    <xf numFmtId="0" fontId="5" fillId="39" borderId="12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/>
    </xf>
    <xf numFmtId="0" fontId="0" fillId="4" borderId="0" xfId="0" applyFill="1" applyBorder="1"/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22" borderId="6" xfId="0" applyFont="1" applyFill="1" applyBorder="1" applyAlignment="1">
      <alignment horizontal="center" vertical="center"/>
    </xf>
    <xf numFmtId="0" fontId="5" fillId="33" borderId="6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7" borderId="8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/>
    </xf>
    <xf numFmtId="0" fontId="0" fillId="4" borderId="3" xfId="0" applyFill="1" applyBorder="1"/>
    <xf numFmtId="0" fontId="5" fillId="35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36" borderId="6" xfId="0" applyFont="1" applyFill="1" applyBorder="1" applyAlignment="1">
      <alignment horizontal="center" vertical="center"/>
    </xf>
    <xf numFmtId="0" fontId="5" fillId="25" borderId="6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6" fillId="14" borderId="11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0" fillId="4" borderId="46" xfId="0" applyFill="1" applyBorder="1"/>
    <xf numFmtId="0" fontId="5" fillId="28" borderId="11" xfId="0" applyFont="1" applyFill="1" applyBorder="1" applyAlignment="1">
      <alignment horizontal="center" vertical="center"/>
    </xf>
    <xf numFmtId="0" fontId="5" fillId="28" borderId="12" xfId="0" applyFont="1" applyFill="1" applyBorder="1" applyAlignment="1">
      <alignment horizontal="center" vertical="center"/>
    </xf>
    <xf numFmtId="0" fontId="5" fillId="32" borderId="13" xfId="0" applyFont="1" applyFill="1" applyBorder="1" applyAlignment="1">
      <alignment horizontal="center" vertical="center"/>
    </xf>
    <xf numFmtId="0" fontId="5" fillId="32" borderId="14" xfId="0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5" fillId="40" borderId="6" xfId="0" applyFont="1" applyFill="1" applyBorder="1" applyAlignment="1">
      <alignment horizontal="center" vertical="center"/>
    </xf>
    <xf numFmtId="0" fontId="11" fillId="40" borderId="16" xfId="0" applyFont="1" applyFill="1" applyBorder="1" applyAlignment="1">
      <alignment horizontal="center"/>
    </xf>
    <xf numFmtId="0" fontId="11" fillId="40" borderId="32" xfId="0" applyFont="1" applyFill="1" applyBorder="1" applyAlignment="1">
      <alignment horizontal="center"/>
    </xf>
    <xf numFmtId="0" fontId="0" fillId="40" borderId="7" xfId="0" applyFont="1" applyFill="1" applyBorder="1" applyAlignment="1">
      <alignment horizontal="center"/>
    </xf>
    <xf numFmtId="0" fontId="0" fillId="40" borderId="33" xfId="0" applyFont="1" applyFill="1" applyBorder="1" applyAlignment="1">
      <alignment horizontal="center"/>
    </xf>
    <xf numFmtId="0" fontId="11" fillId="40" borderId="34" xfId="0" applyFont="1" applyFill="1" applyBorder="1" applyAlignment="1">
      <alignment horizontal="center"/>
    </xf>
    <xf numFmtId="0" fontId="11" fillId="40" borderId="35" xfId="0" applyFont="1" applyFill="1" applyBorder="1" applyAlignment="1">
      <alignment horizontal="center"/>
    </xf>
    <xf numFmtId="0" fontId="11" fillId="40" borderId="36" xfId="0" applyFont="1" applyFill="1" applyBorder="1" applyAlignment="1">
      <alignment horizontal="center"/>
    </xf>
    <xf numFmtId="0" fontId="11" fillId="40" borderId="37" xfId="0" applyFont="1" applyFill="1" applyBorder="1" applyAlignment="1">
      <alignment horizontal="center"/>
    </xf>
    <xf numFmtId="0" fontId="11" fillId="40" borderId="38" xfId="0" applyFont="1" applyFill="1" applyBorder="1" applyAlignment="1">
      <alignment horizontal="center"/>
    </xf>
    <xf numFmtId="0" fontId="11" fillId="40" borderId="39" xfId="0" applyFont="1" applyFill="1" applyBorder="1" applyAlignment="1">
      <alignment horizontal="center"/>
    </xf>
    <xf numFmtId="0" fontId="5" fillId="38" borderId="13" xfId="0" applyFont="1" applyFill="1" applyBorder="1" applyAlignment="1">
      <alignment horizontal="center" vertical="center"/>
    </xf>
    <xf numFmtId="0" fontId="5" fillId="38" borderId="14" xfId="0" applyFont="1" applyFill="1" applyBorder="1" applyAlignment="1">
      <alignment horizontal="center" vertical="center"/>
    </xf>
    <xf numFmtId="0" fontId="11" fillId="38" borderId="32" xfId="0" applyFont="1" applyFill="1" applyBorder="1" applyAlignment="1">
      <alignment horizontal="center"/>
    </xf>
    <xf numFmtId="0" fontId="0" fillId="38" borderId="33" xfId="0" applyFont="1" applyFill="1" applyBorder="1" applyAlignment="1">
      <alignment horizontal="center"/>
    </xf>
    <xf numFmtId="0" fontId="11" fillId="38" borderId="37" xfId="0" applyFont="1" applyFill="1" applyBorder="1" applyAlignment="1">
      <alignment horizontal="center"/>
    </xf>
    <xf numFmtId="0" fontId="11" fillId="38" borderId="38" xfId="0" applyFont="1" applyFill="1" applyBorder="1" applyAlignment="1">
      <alignment horizontal="center"/>
    </xf>
    <xf numFmtId="0" fontId="11" fillId="38" borderId="39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00CC99"/>
      <color rgb="FF00E6E1"/>
      <color rgb="FF00C5C0"/>
      <color rgb="FF6699FF"/>
      <color rgb="FFFF5050"/>
      <color rgb="FFFF9966"/>
      <color rgb="FFFFCC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_CLASSEMENT%202023%20-%20BRUZ/PLANNINGS/plannings%20AFFICHAGE/Tableau%20formateurs%20par%20classe%20pour%20plann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_CLASSEMENT%202023%20-%20BRUZ/PLANNINGS/plannings%20AFFICHAGE/2024/PLANNING%20OCTOBRE%202024%20-%20Ess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4">
          <cell r="A4" t="str">
            <v>me-j</v>
          </cell>
          <cell r="B4" t="str">
            <v>BAC 24</v>
          </cell>
          <cell r="C4" t="str">
            <v>Mail formateur</v>
          </cell>
        </row>
        <row r="5">
          <cell r="A5" t="str">
            <v>Espagnol</v>
          </cell>
          <cell r="B5" t="str">
            <v>L.Moreno</v>
          </cell>
          <cell r="C5" t="str">
            <v>lauramoreno.p9@gmail.com</v>
          </cell>
        </row>
        <row r="6">
          <cell r="A6" t="str">
            <v>Anglais</v>
          </cell>
          <cell r="B6" t="str">
            <v>K.Aignel</v>
          </cell>
          <cell r="C6" t="str">
            <v>kaignel@gmail.com</v>
          </cell>
        </row>
        <row r="7">
          <cell r="A7" t="str">
            <v>Arts appliqués</v>
          </cell>
          <cell r="B7" t="str">
            <v>G.Ortega</v>
          </cell>
          <cell r="C7" t="str">
            <v>geraldineortega1974@gmail.com</v>
          </cell>
        </row>
        <row r="8">
          <cell r="A8" t="str">
            <v>Français</v>
          </cell>
          <cell r="B8" t="str">
            <v>L.Moreno</v>
          </cell>
          <cell r="C8" t="str">
            <v>lauramoreno.p9@gmail.com</v>
          </cell>
        </row>
        <row r="9">
          <cell r="A9" t="str">
            <v>Maths</v>
          </cell>
          <cell r="B9" t="str">
            <v>C.Hervieu</v>
          </cell>
          <cell r="C9" t="str">
            <v>objectifmaths35@gmail.com</v>
          </cell>
        </row>
        <row r="10">
          <cell r="A10" t="str">
            <v>Bloc 1+3+CO</v>
          </cell>
          <cell r="B10" t="str">
            <v>C.Graveleau</v>
          </cell>
          <cell r="C10" t="str">
            <v>chgraveleau35@gmail.com</v>
          </cell>
        </row>
        <row r="11">
          <cell r="A11" t="str">
            <v>Bloc 2+4</v>
          </cell>
          <cell r="B11" t="str">
            <v>G.Frémont</v>
          </cell>
          <cell r="C11" t="str">
            <v>gfremontlodima@gmail.com</v>
          </cell>
        </row>
        <row r="12">
          <cell r="A12" t="str">
            <v>Histoire géo</v>
          </cell>
          <cell r="B12" t="str">
            <v>J.Presse</v>
          </cell>
          <cell r="C12" t="str">
            <v>moijo.jp@gmail.com</v>
          </cell>
        </row>
        <row r="13">
          <cell r="A13" t="str">
            <v>Economie droit</v>
          </cell>
          <cell r="B13" t="str">
            <v>J.Brouard</v>
          </cell>
          <cell r="C13" t="str">
            <v>joris.brouard@gmail.com</v>
          </cell>
        </row>
        <row r="14">
          <cell r="A14" t="str">
            <v>PSE</v>
          </cell>
          <cell r="B14" t="str">
            <v>A.Hugonie</v>
          </cell>
          <cell r="C14" t="str">
            <v>andy.hugonie@gmail.com</v>
          </cell>
        </row>
        <row r="15">
          <cell r="A15" t="str">
            <v>EPS</v>
          </cell>
          <cell r="B15" t="str">
            <v>A.Le Ny</v>
          </cell>
          <cell r="C15" t="str">
            <v>andy.hugonie@gmail.com</v>
          </cell>
        </row>
        <row r="17">
          <cell r="A17" t="str">
            <v>me-j</v>
          </cell>
          <cell r="B17" t="str">
            <v>BAC 25</v>
          </cell>
          <cell r="C17" t="str">
            <v>Mail formateur</v>
          </cell>
        </row>
        <row r="18">
          <cell r="A18" t="str">
            <v>Espagnol</v>
          </cell>
          <cell r="B18" t="str">
            <v>L.Moreno</v>
          </cell>
          <cell r="C18" t="str">
            <v>lauramoreno.p9@gmail.com</v>
          </cell>
        </row>
        <row r="19">
          <cell r="A19" t="str">
            <v>Anglais</v>
          </cell>
          <cell r="B19" t="str">
            <v>K.Aignel</v>
          </cell>
          <cell r="C19" t="str">
            <v>kaignel@gmail.com</v>
          </cell>
        </row>
        <row r="20">
          <cell r="A20" t="str">
            <v>Arts appliqués</v>
          </cell>
          <cell r="B20" t="str">
            <v>G.Ortega</v>
          </cell>
          <cell r="C20" t="str">
            <v>geraldineortega1974@gmail.com</v>
          </cell>
        </row>
        <row r="21">
          <cell r="A21" t="str">
            <v>Français</v>
          </cell>
          <cell r="B21" t="str">
            <v>L.Moreno</v>
          </cell>
          <cell r="C21" t="str">
            <v>lauramoreno.p9@gmail.com</v>
          </cell>
        </row>
        <row r="22">
          <cell r="A22" t="str">
            <v>Maths</v>
          </cell>
          <cell r="B22" t="str">
            <v>C.Hervieu</v>
          </cell>
          <cell r="C22" t="str">
            <v>objectifmaths35@gmail.com</v>
          </cell>
        </row>
        <row r="23">
          <cell r="A23" t="str">
            <v>Bloc 1+3+CO</v>
          </cell>
          <cell r="B23" t="str">
            <v>C.Graveleau</v>
          </cell>
          <cell r="C23" t="str">
            <v>chgraveleau35@gmail.com</v>
          </cell>
        </row>
        <row r="24">
          <cell r="A24" t="str">
            <v>Bloc 2+4</v>
          </cell>
          <cell r="B24" t="str">
            <v>O.Sanson</v>
          </cell>
          <cell r="C24" t="str">
            <v>osansonlodima@gmail.com</v>
          </cell>
        </row>
        <row r="25">
          <cell r="A25" t="str">
            <v>Histoire géo</v>
          </cell>
          <cell r="B25" t="str">
            <v>J.Presse</v>
          </cell>
          <cell r="C25" t="str">
            <v>moijo.jp@gmail.com</v>
          </cell>
        </row>
        <row r="26">
          <cell r="A26" t="str">
            <v>Economie droit</v>
          </cell>
          <cell r="B26" t="str">
            <v>G.Frémont</v>
          </cell>
          <cell r="C26" t="str">
            <v>gfremontlodima@gmail.com</v>
          </cell>
        </row>
        <row r="27">
          <cell r="A27" t="str">
            <v>PSE</v>
          </cell>
          <cell r="B27" t="str">
            <v>A.Hugonie</v>
          </cell>
          <cell r="C27" t="str">
            <v>andy.hugonie@gmail.com</v>
          </cell>
        </row>
        <row r="28">
          <cell r="A28" t="str">
            <v>EPS</v>
          </cell>
          <cell r="B28" t="str">
            <v>A.Hugonie</v>
          </cell>
          <cell r="C28" t="str">
            <v>andy.hugonie@gmail.com</v>
          </cell>
        </row>
        <row r="30">
          <cell r="A30" t="str">
            <v>l-ma</v>
          </cell>
          <cell r="B30" t="str">
            <v>BTS MCO 89</v>
          </cell>
          <cell r="C30" t="str">
            <v>Mail formateur</v>
          </cell>
        </row>
        <row r="31">
          <cell r="A31" t="str">
            <v>Gestion</v>
          </cell>
          <cell r="B31" t="str">
            <v>A.Morice</v>
          </cell>
          <cell r="C31" t="str">
            <v>amoricelodima@gmail.com</v>
          </cell>
        </row>
        <row r="32">
          <cell r="A32" t="str">
            <v>ADOC</v>
          </cell>
          <cell r="B32" t="str">
            <v>G.Frémont</v>
          </cell>
          <cell r="C32" t="str">
            <v>gfremontlodima@gmail.com</v>
          </cell>
        </row>
        <row r="33">
          <cell r="A33" t="str">
            <v>DRCVC</v>
          </cell>
          <cell r="B33" t="str">
            <v>S.Douillard</v>
          </cell>
          <cell r="C33" t="str">
            <v>douillardsylvie@gmail.com</v>
          </cell>
        </row>
        <row r="34">
          <cell r="A34" t="str">
            <v>CEJM</v>
          </cell>
          <cell r="B34" t="str">
            <v>G.Duclos</v>
          </cell>
          <cell r="C34" t="str">
            <v>gaelle.duclos@hotmail.fr</v>
          </cell>
        </row>
        <row r="35">
          <cell r="A35" t="str">
            <v>Anglais</v>
          </cell>
          <cell r="B35" t="str">
            <v>K.Kousaki</v>
          </cell>
          <cell r="C35" t="str">
            <v>kathykous87@gmail.com</v>
          </cell>
        </row>
        <row r="36">
          <cell r="A36" t="str">
            <v>CGE</v>
          </cell>
          <cell r="B36" t="str">
            <v>L.Moreno</v>
          </cell>
          <cell r="C36" t="str">
            <v>lauramoreno.p9@gmail.com</v>
          </cell>
        </row>
        <row r="37">
          <cell r="A37" t="str">
            <v>Management</v>
          </cell>
          <cell r="B37" t="str">
            <v>F.Cochet</v>
          </cell>
          <cell r="C37" t="str">
            <v>fcochetlodima@gmail.com</v>
          </cell>
        </row>
        <row r="38">
          <cell r="A38" t="str">
            <v>Projet citoyen</v>
          </cell>
          <cell r="B38" t="str">
            <v>F.Cochet</v>
          </cell>
          <cell r="C38" t="str">
            <v>fcochetlodima@gmail.com</v>
          </cell>
        </row>
        <row r="39">
          <cell r="A39"/>
          <cell r="B39"/>
          <cell r="C39"/>
        </row>
        <row r="40">
          <cell r="A40"/>
          <cell r="B40"/>
          <cell r="C40"/>
        </row>
        <row r="41">
          <cell r="A41"/>
          <cell r="B41"/>
          <cell r="C41"/>
        </row>
        <row r="43">
          <cell r="A43" t="str">
            <v>ma-me</v>
          </cell>
          <cell r="B43" t="str">
            <v>BTS MCO 91</v>
          </cell>
          <cell r="C43" t="str">
            <v>Mail formateur</v>
          </cell>
        </row>
        <row r="44">
          <cell r="A44" t="str">
            <v>Gestion</v>
          </cell>
          <cell r="B44" t="str">
            <v>S.Douillard</v>
          </cell>
          <cell r="C44" t="str">
            <v>douillardsylvie@gmail.com</v>
          </cell>
        </row>
        <row r="45">
          <cell r="A45" t="str">
            <v>ADOC</v>
          </cell>
          <cell r="B45" t="str">
            <v>A.Morice</v>
          </cell>
          <cell r="C45" t="str">
            <v>amoricelodima@gmail.com</v>
          </cell>
        </row>
        <row r="46">
          <cell r="A46" t="str">
            <v>DRCVC</v>
          </cell>
          <cell r="B46" t="str">
            <v>F.Cochet</v>
          </cell>
          <cell r="C46" t="str">
            <v>fcochetlodima@gmail.com</v>
          </cell>
        </row>
        <row r="47">
          <cell r="A47" t="str">
            <v>CEJM</v>
          </cell>
          <cell r="B47" t="str">
            <v>A.Chéa</v>
          </cell>
          <cell r="C47" t="str">
            <v>alain.chea968@gmail.com</v>
          </cell>
        </row>
        <row r="48">
          <cell r="A48" t="str">
            <v>Anglais</v>
          </cell>
          <cell r="B48" t="str">
            <v>K.Kousaki</v>
          </cell>
          <cell r="C48" t="str">
            <v>kathykous87@gmail.com</v>
          </cell>
        </row>
        <row r="49">
          <cell r="A49" t="str">
            <v>CGE</v>
          </cell>
          <cell r="B49" t="str">
            <v>L.Moreno</v>
          </cell>
          <cell r="C49" t="str">
            <v>lauramoreno.p9@gmail.com</v>
          </cell>
        </row>
        <row r="50">
          <cell r="A50" t="str">
            <v>Management</v>
          </cell>
          <cell r="B50" t="str">
            <v>C.Bourgault</v>
          </cell>
          <cell r="C50" t="str">
            <v>clairebourgault.lodima@gmail.com</v>
          </cell>
        </row>
        <row r="51">
          <cell r="A51" t="str">
            <v>Projet citoyen</v>
          </cell>
          <cell r="B51" t="str">
            <v>A.Morice</v>
          </cell>
          <cell r="C51" t="str">
            <v>amoricelodima@gmail.com</v>
          </cell>
        </row>
        <row r="52">
          <cell r="A52"/>
          <cell r="B52"/>
          <cell r="C52"/>
        </row>
        <row r="53">
          <cell r="A53"/>
          <cell r="B53"/>
          <cell r="C53"/>
        </row>
        <row r="54">
          <cell r="A54"/>
          <cell r="B54"/>
          <cell r="C54"/>
        </row>
        <row r="56">
          <cell r="A56" t="str">
            <v>me-j</v>
          </cell>
          <cell r="B56" t="str">
            <v>BTS MCO 93</v>
          </cell>
          <cell r="C56" t="str">
            <v>Mail formateur</v>
          </cell>
        </row>
        <row r="57">
          <cell r="A57" t="str">
            <v>Gestion</v>
          </cell>
          <cell r="B57" t="str">
            <v>C.Bourgault</v>
          </cell>
          <cell r="C57" t="str">
            <v>clairebourgault.lodima@gmail.com</v>
          </cell>
        </row>
        <row r="58">
          <cell r="A58" t="str">
            <v>ADOC</v>
          </cell>
          <cell r="B58" t="str">
            <v>A.Morice</v>
          </cell>
          <cell r="C58" t="str">
            <v>amoricelodima@gmail.com</v>
          </cell>
        </row>
        <row r="59">
          <cell r="A59" t="str">
            <v>DRCVC</v>
          </cell>
          <cell r="B59" t="str">
            <v>S.Douillard</v>
          </cell>
          <cell r="C59" t="str">
            <v>douillardsylvie@gmail.com</v>
          </cell>
        </row>
        <row r="60">
          <cell r="A60" t="str">
            <v>CEJM</v>
          </cell>
          <cell r="B60" t="str">
            <v>A.Christien</v>
          </cell>
          <cell r="C60" t="str">
            <v>lilichristien@gmail.com</v>
          </cell>
        </row>
        <row r="61">
          <cell r="A61" t="str">
            <v>Anglais</v>
          </cell>
          <cell r="B61" t="str">
            <v>K.Kousaki</v>
          </cell>
          <cell r="C61" t="str">
            <v>kathykous87@gmail.com</v>
          </cell>
        </row>
        <row r="62">
          <cell r="A62" t="str">
            <v>CGE</v>
          </cell>
          <cell r="B62" t="str">
            <v>L.Moreno</v>
          </cell>
          <cell r="C62" t="str">
            <v>lauramoreno.p9@gmail.com</v>
          </cell>
        </row>
        <row r="63">
          <cell r="A63" t="str">
            <v>Management</v>
          </cell>
          <cell r="B63" t="str">
            <v>C.Gérard</v>
          </cell>
          <cell r="C63" t="str">
            <v>cloge.cg@gmail.com</v>
          </cell>
        </row>
        <row r="64">
          <cell r="A64" t="str">
            <v>Projet citoyen</v>
          </cell>
          <cell r="B64" t="str">
            <v>S.Douillard</v>
          </cell>
          <cell r="C64" t="str">
            <v>douillardsylvie@gmail.com</v>
          </cell>
        </row>
        <row r="65">
          <cell r="A65"/>
          <cell r="B65"/>
          <cell r="C65"/>
        </row>
        <row r="66">
          <cell r="A66"/>
          <cell r="B66"/>
          <cell r="C66"/>
        </row>
        <row r="67">
          <cell r="A67"/>
          <cell r="B67"/>
          <cell r="C67"/>
        </row>
        <row r="69">
          <cell r="A69" t="str">
            <v>j-v</v>
          </cell>
          <cell r="B69" t="str">
            <v>BTS MCO 95</v>
          </cell>
          <cell r="C69" t="str">
            <v>Mail formateur</v>
          </cell>
        </row>
        <row r="70">
          <cell r="A70" t="str">
            <v>Gestion</v>
          </cell>
          <cell r="B70" t="str">
            <v>J.C.Bruneau</v>
          </cell>
          <cell r="C70" t="str">
            <v>jeanchristophebruneau94@gmail.com</v>
          </cell>
        </row>
        <row r="71">
          <cell r="A71" t="str">
            <v>ADOC</v>
          </cell>
          <cell r="B71" t="str">
            <v>G.Frémont</v>
          </cell>
          <cell r="C71" t="str">
            <v>gfremontlodima@gmail.com</v>
          </cell>
        </row>
        <row r="72">
          <cell r="A72" t="str">
            <v>DRCVC</v>
          </cell>
          <cell r="B72" t="str">
            <v>A.Morice</v>
          </cell>
          <cell r="C72" t="str">
            <v>amoricelodima@gmail.com</v>
          </cell>
        </row>
        <row r="73">
          <cell r="A73" t="str">
            <v>CEJM</v>
          </cell>
          <cell r="B73" t="str">
            <v>A.Chéa</v>
          </cell>
          <cell r="C73" t="str">
            <v>alain.chea968@gmail.com</v>
          </cell>
        </row>
        <row r="74">
          <cell r="A74" t="str">
            <v>Anglais</v>
          </cell>
          <cell r="B74" t="str">
            <v>G.Berhouc</v>
          </cell>
          <cell r="C74" t="str">
            <v>berhoucgaetan.formateurs@gmail.com</v>
          </cell>
        </row>
        <row r="75">
          <cell r="A75" t="str">
            <v>CGE</v>
          </cell>
          <cell r="B75" t="str">
            <v>L.Moreno</v>
          </cell>
          <cell r="C75" t="str">
            <v>lauramoreno.p9@gmail.com</v>
          </cell>
        </row>
        <row r="76">
          <cell r="A76" t="str">
            <v>Management</v>
          </cell>
          <cell r="B76" t="str">
            <v>C.Bourgault</v>
          </cell>
          <cell r="C76" t="str">
            <v>clairebourgault.lodima@gmail.com</v>
          </cell>
        </row>
        <row r="77">
          <cell r="A77" t="str">
            <v>Projet citoyen</v>
          </cell>
          <cell r="B77" t="str">
            <v>C.Bourgault</v>
          </cell>
          <cell r="C77" t="str">
            <v>clairebourgault.lodima@gmail.com</v>
          </cell>
        </row>
        <row r="78">
          <cell r="A78"/>
          <cell r="B78"/>
          <cell r="C78"/>
        </row>
        <row r="79">
          <cell r="A79"/>
          <cell r="B79"/>
          <cell r="C79"/>
        </row>
        <row r="80">
          <cell r="A80"/>
          <cell r="B80"/>
          <cell r="C80"/>
        </row>
        <row r="82">
          <cell r="A82" t="str">
            <v>j-v</v>
          </cell>
          <cell r="B82" t="str">
            <v>BTS MCO 97</v>
          </cell>
          <cell r="C82" t="str">
            <v>Mail formateur</v>
          </cell>
        </row>
        <row r="83">
          <cell r="A83" t="str">
            <v>Gestion</v>
          </cell>
          <cell r="B83" t="str">
            <v>J.C.Bruneau</v>
          </cell>
          <cell r="C83" t="str">
            <v>jeanchristophebruneau94@gmail.com</v>
          </cell>
        </row>
        <row r="84">
          <cell r="A84" t="str">
            <v>ADOC</v>
          </cell>
          <cell r="B84" t="str">
            <v>C.Graveleau</v>
          </cell>
          <cell r="C84" t="str">
            <v>chgraveleau35@gmail.com</v>
          </cell>
        </row>
        <row r="85">
          <cell r="A85" t="str">
            <v>DRCVC</v>
          </cell>
          <cell r="B85" t="str">
            <v>S.Travers</v>
          </cell>
          <cell r="C85" t="str">
            <v>stephanetraversfpa@gmail.com</v>
          </cell>
        </row>
        <row r="86">
          <cell r="A86" t="str">
            <v>CEJM</v>
          </cell>
          <cell r="B86" t="str">
            <v>A.Christien</v>
          </cell>
          <cell r="C86" t="str">
            <v>lilichristien@gmail.com</v>
          </cell>
        </row>
        <row r="87">
          <cell r="A87" t="str">
            <v>Anglais</v>
          </cell>
          <cell r="B87" t="str">
            <v>G.Berhouc</v>
          </cell>
          <cell r="C87" t="str">
            <v>berhoucgaetan.formateurs@gmail.com</v>
          </cell>
        </row>
        <row r="88">
          <cell r="A88" t="str">
            <v>CGE</v>
          </cell>
          <cell r="B88" t="str">
            <v>L.Moreno</v>
          </cell>
          <cell r="C88" t="str">
            <v>lauramoreno.p9@gmail.com</v>
          </cell>
        </row>
        <row r="89">
          <cell r="A89" t="str">
            <v>Management</v>
          </cell>
          <cell r="B89" t="str">
            <v>G.Frémont</v>
          </cell>
          <cell r="C89" t="str">
            <v>gfremontlodima@gmail.com</v>
          </cell>
        </row>
        <row r="90">
          <cell r="A90" t="str">
            <v>Projet citoyen</v>
          </cell>
          <cell r="B90" t="str">
            <v>S.Travers</v>
          </cell>
          <cell r="C90" t="str">
            <v>stephanetraversfpa@gmail.com</v>
          </cell>
        </row>
        <row r="95">
          <cell r="A95" t="str">
            <v xml:space="preserve">semaine </v>
          </cell>
          <cell r="B95" t="str">
            <v>NDRC 5</v>
          </cell>
          <cell r="C95" t="str">
            <v>Mail formateur</v>
          </cell>
        </row>
        <row r="96">
          <cell r="A96" t="str">
            <v>Négociation</v>
          </cell>
          <cell r="B96" t="str">
            <v>S.Douillard</v>
          </cell>
          <cell r="C96" t="str">
            <v>douillardsylvie@gmail.com</v>
          </cell>
        </row>
        <row r="97">
          <cell r="A97" t="str">
            <v>Digitalisation</v>
          </cell>
          <cell r="B97" t="str">
            <v>A.Le Dily</v>
          </cell>
          <cell r="C97" t="str">
            <v>annaledily@gmail.com</v>
          </cell>
        </row>
        <row r="98">
          <cell r="A98" t="str">
            <v>Animation</v>
          </cell>
          <cell r="B98" t="str">
            <v>C.Bourgault</v>
          </cell>
          <cell r="C98" t="str">
            <v>clairebourgault.lodima@gmail.com</v>
          </cell>
        </row>
        <row r="99">
          <cell r="A99" t="str">
            <v>CEJM</v>
          </cell>
          <cell r="B99" t="str">
            <v>G.Duclos</v>
          </cell>
          <cell r="C99" t="str">
            <v>gaelle.duclos@hotmail.fr</v>
          </cell>
        </row>
        <row r="100">
          <cell r="A100" t="str">
            <v>Gestion</v>
          </cell>
          <cell r="B100" t="str">
            <v>C.Bourgault</v>
          </cell>
          <cell r="C100" t="str">
            <v>clairebourgault.lodima@gmail.com</v>
          </cell>
        </row>
        <row r="101">
          <cell r="A101" t="str">
            <v>Anglais</v>
          </cell>
          <cell r="B101" t="str">
            <v>G.Berhouc</v>
          </cell>
          <cell r="C101" t="str">
            <v>berhoucgaetan.formateurs@gmail.com</v>
          </cell>
        </row>
        <row r="102">
          <cell r="A102" t="str">
            <v>CGE</v>
          </cell>
          <cell r="B102" t="str">
            <v>L.Moreno</v>
          </cell>
          <cell r="C102" t="str">
            <v>lauramoreno.p9@gmail.com</v>
          </cell>
        </row>
        <row r="103">
          <cell r="A103" t="str">
            <v>Projet citoyen</v>
          </cell>
          <cell r="B103" t="str">
            <v>S.Douillard</v>
          </cell>
          <cell r="C103" t="str">
            <v>douillardsylvie@gmail.com</v>
          </cell>
        </row>
        <row r="104">
          <cell r="A104"/>
          <cell r="B104"/>
          <cell r="C104"/>
        </row>
        <row r="105">
          <cell r="A105"/>
          <cell r="B105"/>
          <cell r="C105"/>
        </row>
        <row r="106">
          <cell r="A106"/>
          <cell r="B106"/>
          <cell r="C106"/>
        </row>
        <row r="108">
          <cell r="A108" t="str">
            <v>l-ma</v>
          </cell>
          <cell r="B108" t="str">
            <v>NDRC 6</v>
          </cell>
          <cell r="C108" t="str">
            <v>Mail formateur</v>
          </cell>
        </row>
        <row r="109">
          <cell r="A109" t="str">
            <v>Négociation</v>
          </cell>
          <cell r="B109" t="str">
            <v>J.Y.Trubert</v>
          </cell>
          <cell r="C109" t="str">
            <v>trubertjy@gmail.com</v>
          </cell>
        </row>
        <row r="110">
          <cell r="A110" t="str">
            <v>Digitalisation</v>
          </cell>
          <cell r="B110" t="str">
            <v>A.Le Dily</v>
          </cell>
          <cell r="C110" t="str">
            <v>annaledily@gmail.com</v>
          </cell>
        </row>
        <row r="111">
          <cell r="A111" t="str">
            <v>Animation</v>
          </cell>
          <cell r="B111" t="str">
            <v>C.Bourgault</v>
          </cell>
          <cell r="C111" t="str">
            <v>clairebourgault.lodima@gmail.com</v>
          </cell>
        </row>
        <row r="112">
          <cell r="A112" t="str">
            <v>CEJM</v>
          </cell>
          <cell r="B112" t="str">
            <v>A.Chéa</v>
          </cell>
          <cell r="C112" t="str">
            <v>alain.chea968@gmail.com</v>
          </cell>
        </row>
        <row r="113">
          <cell r="A113" t="str">
            <v>Gestion</v>
          </cell>
          <cell r="B113" t="str">
            <v>C.Bourgault</v>
          </cell>
          <cell r="C113" t="str">
            <v>clairebourgault.lodima@gmail.com</v>
          </cell>
        </row>
        <row r="114">
          <cell r="A114" t="str">
            <v>Anglais</v>
          </cell>
          <cell r="B114" t="str">
            <v>K.Kousaki</v>
          </cell>
          <cell r="C114" t="str">
            <v>kathykous87@gmail.com</v>
          </cell>
        </row>
        <row r="115">
          <cell r="A115" t="str">
            <v>CGE</v>
          </cell>
          <cell r="B115" t="str">
            <v>L.Moreno</v>
          </cell>
          <cell r="C115" t="str">
            <v>lauramoreno.p9@gmail.com</v>
          </cell>
        </row>
        <row r="116">
          <cell r="A116" t="str">
            <v>Projet citoyen</v>
          </cell>
          <cell r="B116" t="str">
            <v>J.Y.Trubert</v>
          </cell>
          <cell r="C116" t="str">
            <v>trubertjy@gmail.com</v>
          </cell>
        </row>
        <row r="117">
          <cell r="A117"/>
          <cell r="B117"/>
          <cell r="C117"/>
        </row>
        <row r="118">
          <cell r="A118"/>
          <cell r="B118"/>
          <cell r="C118"/>
        </row>
        <row r="119">
          <cell r="A119"/>
          <cell r="B119"/>
          <cell r="C119"/>
        </row>
        <row r="121">
          <cell r="A121" t="str">
            <v>j-v</v>
          </cell>
          <cell r="B121" t="str">
            <v>GPME1</v>
          </cell>
          <cell r="C121" t="str">
            <v>Mail formateur</v>
          </cell>
        </row>
        <row r="122">
          <cell r="A122" t="str">
            <v>CEJM</v>
          </cell>
          <cell r="B122" t="str">
            <v>A.C. Gauthier</v>
          </cell>
          <cell r="C122" t="str">
            <v>annece.gauthier@gmail.com</v>
          </cell>
        </row>
        <row r="123">
          <cell r="A123" t="str">
            <v>CGE</v>
          </cell>
          <cell r="B123" t="str">
            <v>M.Poirrier</v>
          </cell>
          <cell r="C123" t="str">
            <v>melanie.poirriervodungbo@gmail.com</v>
          </cell>
        </row>
        <row r="124">
          <cell r="A124" t="str">
            <v>Anglais</v>
          </cell>
          <cell r="B124" t="str">
            <v>G.Colleau</v>
          </cell>
          <cell r="C124" t="str">
            <v>gycolleau@gmail.com</v>
          </cell>
        </row>
        <row r="125">
          <cell r="A125" t="str">
            <v>Com E/O</v>
          </cell>
          <cell r="B125" t="str">
            <v>M.Poirrier</v>
          </cell>
          <cell r="C125" t="str">
            <v>melanie.poirriervodungbo@gmail.com</v>
          </cell>
        </row>
        <row r="126">
          <cell r="A126" t="str">
            <v>GR</v>
          </cell>
          <cell r="B126" t="str">
            <v>K.Madoun</v>
          </cell>
          <cell r="C126" t="str">
            <v>k.madoun@orange.fr</v>
          </cell>
        </row>
        <row r="127">
          <cell r="A127" t="str">
            <v>GRH</v>
          </cell>
          <cell r="B127" t="str">
            <v>M.Turuban</v>
          </cell>
          <cell r="C127" t="str">
            <v>magalie-turuban@wanadoo.fr</v>
          </cell>
        </row>
        <row r="128">
          <cell r="A128" t="str">
            <v>GRCF</v>
          </cell>
          <cell r="B128" t="str">
            <v>K.Madoun</v>
          </cell>
          <cell r="C128" t="str">
            <v>k.madoun@orange.fr</v>
          </cell>
        </row>
        <row r="129">
          <cell r="A129" t="str">
            <v>SFDPME</v>
          </cell>
          <cell r="B129" t="str">
            <v>J.C.Bruneau</v>
          </cell>
          <cell r="C129" t="str">
            <v>jeanchristophebruneau94@gmail.com</v>
          </cell>
        </row>
        <row r="130">
          <cell r="A130" t="str">
            <v>Atelier pro</v>
          </cell>
          <cell r="B130" t="str">
            <v>M.Borreau</v>
          </cell>
          <cell r="C130" t="str">
            <v>formationsmb@gmail.com</v>
          </cell>
        </row>
        <row r="131">
          <cell r="A131"/>
          <cell r="B131"/>
          <cell r="C131"/>
        </row>
        <row r="132">
          <cell r="A132"/>
          <cell r="B132"/>
          <cell r="C132"/>
        </row>
        <row r="134">
          <cell r="A134" t="str">
            <v>Semaine</v>
          </cell>
          <cell r="B134" t="str">
            <v>M2</v>
          </cell>
          <cell r="C134" t="str">
            <v>Mail formateur</v>
          </cell>
        </row>
        <row r="135">
          <cell r="A135" t="str">
            <v xml:space="preserve">Stratégie commerciale </v>
          </cell>
          <cell r="B135" t="str">
            <v>E.Gorain</v>
          </cell>
          <cell r="C135" t="str">
            <v>emmanuel.gorain@grn-expertises.fr</v>
          </cell>
        </row>
        <row r="136">
          <cell r="A136" t="str">
            <v>PAC</v>
          </cell>
          <cell r="B136" t="str">
            <v>T.Sitruk</v>
          </cell>
          <cell r="C136" t="str">
            <v>tsitruklodima@gmail.com</v>
          </cell>
        </row>
        <row r="137">
          <cell r="A137" t="str">
            <v>Finance d'entreprise</v>
          </cell>
          <cell r="B137" t="str">
            <v>S.Colleu</v>
          </cell>
          <cell r="C137" t="str">
            <v>sandrinecolleu.lodima@gmail.com</v>
          </cell>
        </row>
        <row r="138">
          <cell r="A138" t="str">
            <v>Transformation digitale</v>
          </cell>
          <cell r="B138" t="str">
            <v>A. Le Dily</v>
          </cell>
          <cell r="C138" t="str">
            <v>annaledily@gmail.com</v>
          </cell>
        </row>
        <row r="139">
          <cell r="A139" t="str">
            <v>Anglais</v>
          </cell>
          <cell r="B139" t="str">
            <v>K.Kousaki</v>
          </cell>
          <cell r="C139" t="str">
            <v>kathykous87@gmail.com</v>
          </cell>
        </row>
        <row r="140">
          <cell r="A140" t="str">
            <v>Management d'entreprise</v>
          </cell>
          <cell r="B140" t="str">
            <v>M.Charruault</v>
          </cell>
          <cell r="C140" t="str">
            <v>charruault.marc@gmail.com</v>
          </cell>
        </row>
        <row r="141">
          <cell r="A141" t="str">
            <v>Méthodologie de projet</v>
          </cell>
          <cell r="B141" t="str">
            <v>O.Sanson</v>
          </cell>
          <cell r="C141" t="str">
            <v>osansonlodima@gmail.com</v>
          </cell>
        </row>
        <row r="142">
          <cell r="A142"/>
          <cell r="B142"/>
          <cell r="C142"/>
        </row>
        <row r="143">
          <cell r="A143"/>
          <cell r="B143"/>
          <cell r="C143"/>
        </row>
        <row r="144">
          <cell r="A144"/>
          <cell r="B144"/>
          <cell r="C144"/>
        </row>
        <row r="145">
          <cell r="A145"/>
          <cell r="B145"/>
          <cell r="C145"/>
        </row>
        <row r="148">
          <cell r="A148" t="str">
            <v>me-j</v>
          </cell>
          <cell r="B148" t="str">
            <v>BAC 26</v>
          </cell>
          <cell r="C148" t="str">
            <v>Mail formateur</v>
          </cell>
        </row>
        <row r="149">
          <cell r="A149" t="str">
            <v>Espagnol</v>
          </cell>
          <cell r="B149" t="str">
            <v>L.Moreno</v>
          </cell>
          <cell r="C149" t="str">
            <v>lauramoreno.p9@gmail.com</v>
          </cell>
        </row>
        <row r="150">
          <cell r="A150" t="str">
            <v>Anglais</v>
          </cell>
          <cell r="B150" t="str">
            <v>K.Aignel</v>
          </cell>
          <cell r="C150" t="str">
            <v>kaignel@gmail.com</v>
          </cell>
        </row>
        <row r="151">
          <cell r="A151" t="str">
            <v>Arts appliqués</v>
          </cell>
          <cell r="B151" t="str">
            <v>G.Ortega</v>
          </cell>
          <cell r="C151" t="str">
            <v>geraldineortega1974@gmail.com</v>
          </cell>
        </row>
        <row r="152">
          <cell r="A152" t="str">
            <v>Français</v>
          </cell>
          <cell r="B152" t="str">
            <v>L.Moreno</v>
          </cell>
          <cell r="C152" t="str">
            <v>lauramoreno.p9@gmail.com</v>
          </cell>
        </row>
        <row r="153">
          <cell r="A153" t="str">
            <v>Maths</v>
          </cell>
          <cell r="B153" t="str">
            <v>C.Hervieu</v>
          </cell>
          <cell r="C153" t="str">
            <v>objectifmaths35@gmail.com</v>
          </cell>
        </row>
        <row r="154">
          <cell r="A154" t="str">
            <v>Bloc 1+3+CO</v>
          </cell>
          <cell r="B154" t="str">
            <v>C.Graveleau</v>
          </cell>
          <cell r="C154" t="str">
            <v>chgraveleau35@gmail.com</v>
          </cell>
        </row>
        <row r="155">
          <cell r="A155" t="str">
            <v>Bloc 2+4</v>
          </cell>
          <cell r="B155" t="str">
            <v>G.Frémont</v>
          </cell>
          <cell r="C155" t="str">
            <v>gfremontlodima@gmail.com</v>
          </cell>
        </row>
        <row r="156">
          <cell r="A156" t="str">
            <v>Histoire géo</v>
          </cell>
          <cell r="B156" t="str">
            <v>J.Presse</v>
          </cell>
          <cell r="C156" t="str">
            <v>moijo.jp@gmail.com</v>
          </cell>
        </row>
        <row r="157">
          <cell r="A157" t="str">
            <v>Economie droit</v>
          </cell>
          <cell r="B157" t="str">
            <v>J.Brouard</v>
          </cell>
          <cell r="C157" t="str">
            <v>joris.brouard@gmail.com</v>
          </cell>
        </row>
        <row r="158">
          <cell r="A158" t="str">
            <v>PSE</v>
          </cell>
          <cell r="B158" t="str">
            <v>A.Hugonie</v>
          </cell>
          <cell r="C158" t="str">
            <v>andy.hugonie@gmail.com</v>
          </cell>
        </row>
        <row r="159">
          <cell r="A159" t="str">
            <v>EPS</v>
          </cell>
          <cell r="B159" t="str">
            <v>A.Le Ny</v>
          </cell>
          <cell r="C159" t="str">
            <v>andy.hugonie@gmail.com</v>
          </cell>
        </row>
        <row r="161">
          <cell r="A161" t="str">
            <v>me-j</v>
          </cell>
          <cell r="B161" t="str">
            <v>BAC 27</v>
          </cell>
          <cell r="C161" t="str">
            <v>Mail formateur</v>
          </cell>
        </row>
        <row r="162">
          <cell r="A162" t="str">
            <v>Espagnol</v>
          </cell>
          <cell r="B162" t="str">
            <v>L.Moreno</v>
          </cell>
          <cell r="C162" t="str">
            <v>lauramoreno.p9@gmail.com</v>
          </cell>
        </row>
        <row r="163">
          <cell r="A163" t="str">
            <v>Anglais</v>
          </cell>
          <cell r="B163" t="str">
            <v>K.Aignel</v>
          </cell>
          <cell r="C163" t="str">
            <v>kaignel@gmail.com</v>
          </cell>
        </row>
        <row r="164">
          <cell r="A164" t="str">
            <v>Arts appliqués</v>
          </cell>
          <cell r="B164" t="str">
            <v>G.Ortega</v>
          </cell>
          <cell r="C164" t="str">
            <v>geraldineortega1974@gmail.com</v>
          </cell>
        </row>
        <row r="165">
          <cell r="A165" t="str">
            <v>Français</v>
          </cell>
          <cell r="B165" t="str">
            <v>L.Moreno</v>
          </cell>
          <cell r="C165" t="str">
            <v>lauramoreno.p9@gmail.com</v>
          </cell>
        </row>
        <row r="166">
          <cell r="A166" t="str">
            <v>Maths</v>
          </cell>
          <cell r="B166" t="str">
            <v>C.Hervieu</v>
          </cell>
          <cell r="C166" t="str">
            <v>objectifmaths35@gmail.com</v>
          </cell>
        </row>
        <row r="167">
          <cell r="A167" t="str">
            <v>Bloc 1+3+CO</v>
          </cell>
          <cell r="B167" t="str">
            <v>C.Graveleau</v>
          </cell>
          <cell r="C167" t="str">
            <v>chgraveleau35@gmail.com</v>
          </cell>
        </row>
        <row r="168">
          <cell r="A168" t="str">
            <v>Bloc 2+4</v>
          </cell>
          <cell r="B168" t="str">
            <v>G.Frémont</v>
          </cell>
          <cell r="C168" t="str">
            <v>gfremontlodima@gmail.com</v>
          </cell>
        </row>
        <row r="169">
          <cell r="A169" t="str">
            <v>Histoire géo</v>
          </cell>
          <cell r="B169" t="str">
            <v>J.Presse</v>
          </cell>
          <cell r="C169" t="str">
            <v>moijo.jp@gmail.com</v>
          </cell>
        </row>
        <row r="170">
          <cell r="A170" t="str">
            <v>Economie droit</v>
          </cell>
          <cell r="B170" t="str">
            <v>G.Frémont</v>
          </cell>
          <cell r="C170" t="str">
            <v>gfremontlodima@gmail.com</v>
          </cell>
        </row>
        <row r="171">
          <cell r="A171" t="str">
            <v>PSE</v>
          </cell>
          <cell r="B171" t="str">
            <v>A.Hugonie</v>
          </cell>
          <cell r="C171" t="str">
            <v>andy.hugonie@gmail.com</v>
          </cell>
        </row>
        <row r="172">
          <cell r="A172" t="str">
            <v>EPS</v>
          </cell>
          <cell r="B172" t="str">
            <v>A.Hugonie</v>
          </cell>
          <cell r="C172" t="str">
            <v>andy.hugonie@gmail.com</v>
          </cell>
        </row>
        <row r="174">
          <cell r="A174" t="str">
            <v>l-ma</v>
          </cell>
          <cell r="B174" t="str">
            <v>BTS MCO 99</v>
          </cell>
          <cell r="C174" t="str">
            <v>Mail formateur</v>
          </cell>
        </row>
        <row r="175">
          <cell r="A175" t="str">
            <v>Gestion</v>
          </cell>
          <cell r="B175" t="str">
            <v>A.Morice</v>
          </cell>
          <cell r="C175" t="str">
            <v>amoricelodima@gmail.com</v>
          </cell>
        </row>
        <row r="176">
          <cell r="A176" t="str">
            <v>ADOC</v>
          </cell>
          <cell r="B176" t="str">
            <v>C.Graveleau</v>
          </cell>
          <cell r="C176" t="str">
            <v>chgraveleau35@gmail.com</v>
          </cell>
        </row>
        <row r="177">
          <cell r="A177" t="str">
            <v>DRCVC</v>
          </cell>
          <cell r="B177" t="str">
            <v>S.Travers</v>
          </cell>
          <cell r="C177" t="str">
            <v>stephanetraversfpa@gmail.com</v>
          </cell>
        </row>
        <row r="178">
          <cell r="A178" t="str">
            <v>CEJM</v>
          </cell>
          <cell r="B178" t="str">
            <v>T.Fresnel</v>
          </cell>
          <cell r="C178" t="str">
            <v>thierry.fresnel@gmail.com</v>
          </cell>
        </row>
        <row r="179">
          <cell r="A179" t="str">
            <v>Anglais</v>
          </cell>
          <cell r="B179" t="str">
            <v>K.Kousaki</v>
          </cell>
          <cell r="C179" t="str">
            <v>kathykous87@gmail.com</v>
          </cell>
        </row>
        <row r="180">
          <cell r="A180" t="str">
            <v>CGE</v>
          </cell>
          <cell r="B180" t="str">
            <v>L.Moreno</v>
          </cell>
          <cell r="C180" t="str">
            <v>lauramoreno.p9@gmail.com</v>
          </cell>
        </row>
        <row r="181">
          <cell r="A181" t="str">
            <v>Management</v>
          </cell>
          <cell r="B181" t="str">
            <v>F.Cochet</v>
          </cell>
          <cell r="C181" t="str">
            <v>fcochetlodima@gmail.com</v>
          </cell>
        </row>
        <row r="182">
          <cell r="A182" t="str">
            <v>Projet citoyen</v>
          </cell>
          <cell r="B182" t="str">
            <v>A.Morice</v>
          </cell>
          <cell r="C182" t="str">
            <v>amoricelodima@gmail.com</v>
          </cell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7">
          <cell r="A187" t="str">
            <v>ma-me</v>
          </cell>
          <cell r="B187" t="str">
            <v>BTS MCO 101</v>
          </cell>
          <cell r="C187" t="str">
            <v>Mail formateur</v>
          </cell>
        </row>
        <row r="188">
          <cell r="A188" t="str">
            <v>Gestion</v>
          </cell>
          <cell r="B188" t="str">
            <v>C.Bourgault</v>
          </cell>
          <cell r="C188" t="str">
            <v>clairebourgault.lodima@gmail.com</v>
          </cell>
        </row>
        <row r="189">
          <cell r="A189" t="str">
            <v>ADOC</v>
          </cell>
          <cell r="B189" t="str">
            <v>A.Morice</v>
          </cell>
          <cell r="C189" t="str">
            <v>amoricelodima@gmail.com</v>
          </cell>
        </row>
        <row r="190">
          <cell r="A190" t="str">
            <v>DRCVC</v>
          </cell>
          <cell r="B190" t="str">
            <v>S.Travers</v>
          </cell>
          <cell r="C190" t="str">
            <v>stephanetraversfpa@gmail.com</v>
          </cell>
        </row>
        <row r="191">
          <cell r="A191" t="str">
            <v>CEJM</v>
          </cell>
          <cell r="B191" t="str">
            <v>A.Christien</v>
          </cell>
          <cell r="C191" t="str">
            <v>lilichristien@gmail.com</v>
          </cell>
        </row>
        <row r="192">
          <cell r="A192" t="str">
            <v>Anglais</v>
          </cell>
          <cell r="B192" t="str">
            <v>K.Kousaki</v>
          </cell>
          <cell r="C192" t="str">
            <v>kathykous87@gmail.com</v>
          </cell>
        </row>
        <row r="193">
          <cell r="A193" t="str">
            <v>CGE</v>
          </cell>
          <cell r="B193" t="str">
            <v>L.Moreno</v>
          </cell>
          <cell r="C193" t="str">
            <v>lauramoreno.p9@gmail.com</v>
          </cell>
        </row>
        <row r="194">
          <cell r="A194" t="str">
            <v>Management</v>
          </cell>
          <cell r="B194" t="str">
            <v>F.Cochet</v>
          </cell>
          <cell r="C194" t="str">
            <v>fcochetlodima@gmail.com</v>
          </cell>
        </row>
        <row r="195">
          <cell r="A195" t="str">
            <v>Projet citoyen</v>
          </cell>
          <cell r="B195" t="str">
            <v>F.Cochet</v>
          </cell>
          <cell r="C195" t="str">
            <v>fcochetlodima@gmail.com</v>
          </cell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200">
          <cell r="A200" t="str">
            <v>me-j</v>
          </cell>
          <cell r="B200" t="str">
            <v>BTS MCO 103</v>
          </cell>
          <cell r="C200" t="str">
            <v>Mail formateur</v>
          </cell>
        </row>
        <row r="201">
          <cell r="A201" t="str">
            <v>Gestion</v>
          </cell>
          <cell r="B201" t="str">
            <v>S.Douillard</v>
          </cell>
          <cell r="C201" t="str">
            <v>douillardsylvie@gmail.com</v>
          </cell>
        </row>
        <row r="202">
          <cell r="A202" t="str">
            <v>ADOC</v>
          </cell>
          <cell r="B202" t="str">
            <v>A.Morice</v>
          </cell>
          <cell r="C202" t="str">
            <v>amoricelodima@gmail.com</v>
          </cell>
        </row>
        <row r="203">
          <cell r="A203" t="str">
            <v>DRCVC</v>
          </cell>
          <cell r="B203" t="str">
            <v>F.Cochet</v>
          </cell>
          <cell r="C203" t="str">
            <v>fcochetlodima@gmail.com</v>
          </cell>
        </row>
        <row r="204">
          <cell r="A204" t="str">
            <v>CEJM</v>
          </cell>
          <cell r="B204" t="str">
            <v>A.Christien</v>
          </cell>
          <cell r="C204" t="str">
            <v>lilichristien@gmail.com</v>
          </cell>
        </row>
        <row r="205">
          <cell r="A205" t="str">
            <v>Anglais</v>
          </cell>
          <cell r="B205" t="str">
            <v>G.Berhouc</v>
          </cell>
          <cell r="C205" t="str">
            <v>berhoucgaetan.formateurs@gmail.com</v>
          </cell>
        </row>
        <row r="206">
          <cell r="A206" t="str">
            <v>CGE</v>
          </cell>
          <cell r="B206" t="str">
            <v>L.Moreno</v>
          </cell>
          <cell r="C206" t="str">
            <v>lauramoreno.p9@gmail.com</v>
          </cell>
        </row>
        <row r="207">
          <cell r="A207" t="str">
            <v>Management</v>
          </cell>
          <cell r="B207" t="str">
            <v>C.Bourgault</v>
          </cell>
          <cell r="C207" t="str">
            <v>clairebourgault.lodima@gmail.com</v>
          </cell>
        </row>
        <row r="208">
          <cell r="A208" t="str">
            <v>Projet citoyen</v>
          </cell>
          <cell r="B208" t="str">
            <v>S.Douillard</v>
          </cell>
          <cell r="C208" t="str">
            <v>douillardsylvie@gmail.com</v>
          </cell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3">
          <cell r="A213" t="str">
            <v>j-v</v>
          </cell>
          <cell r="B213" t="str">
            <v>BTS MCO 105</v>
          </cell>
          <cell r="C213" t="str">
            <v>Mail formateur</v>
          </cell>
        </row>
        <row r="214">
          <cell r="A214" t="str">
            <v>Gestion</v>
          </cell>
          <cell r="B214" t="str">
            <v>A.Morice</v>
          </cell>
          <cell r="C214" t="str">
            <v>amoricelodima@gmail.com</v>
          </cell>
        </row>
        <row r="215">
          <cell r="A215" t="str">
            <v>ADOC</v>
          </cell>
          <cell r="B215" t="str">
            <v>G.Frémont</v>
          </cell>
          <cell r="C215" t="str">
            <v>gfremontlodima@gmail.com</v>
          </cell>
        </row>
        <row r="216">
          <cell r="A216" t="str">
            <v>DRCVC</v>
          </cell>
          <cell r="B216" t="str">
            <v>S.Travers</v>
          </cell>
          <cell r="C216" t="str">
            <v>stephanetraversfpa@gmail.com</v>
          </cell>
        </row>
        <row r="217">
          <cell r="A217" t="str">
            <v>CEJM</v>
          </cell>
          <cell r="B217" t="str">
            <v>A.Chéa</v>
          </cell>
          <cell r="C217" t="str">
            <v>alain.chea968@gmail.com</v>
          </cell>
        </row>
        <row r="218">
          <cell r="A218" t="str">
            <v>Anglais</v>
          </cell>
          <cell r="B218" t="str">
            <v>G.Berhouc</v>
          </cell>
          <cell r="C218" t="str">
            <v>berhoucgaetan.formateurs@gmail.com</v>
          </cell>
        </row>
        <row r="219">
          <cell r="A219" t="str">
            <v>CGE</v>
          </cell>
          <cell r="B219" t="str">
            <v>L.Moreno</v>
          </cell>
          <cell r="C219" t="str">
            <v>lauramoreno.p9@gmail.com</v>
          </cell>
        </row>
        <row r="220">
          <cell r="A220" t="str">
            <v>Management</v>
          </cell>
          <cell r="B220" t="str">
            <v>C.Bourgault</v>
          </cell>
          <cell r="C220" t="str">
            <v>clairebourgault.lodima@gmail.com</v>
          </cell>
        </row>
        <row r="221">
          <cell r="A221" t="str">
            <v>Projet citoyen</v>
          </cell>
          <cell r="B221" t="str">
            <v>A.Morice</v>
          </cell>
          <cell r="C221" t="str">
            <v>amoricelodima@gmail.com</v>
          </cell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6">
          <cell r="A226" t="str">
            <v xml:space="preserve">semaine </v>
          </cell>
          <cell r="B226" t="str">
            <v>NDRC 7</v>
          </cell>
          <cell r="C226" t="str">
            <v>Mail formateur</v>
          </cell>
        </row>
        <row r="227">
          <cell r="A227" t="str">
            <v>Négociation</v>
          </cell>
          <cell r="B227" t="str">
            <v>J.Y.Trubert</v>
          </cell>
          <cell r="C227" t="str">
            <v>trubertjy@gmail.com</v>
          </cell>
        </row>
        <row r="228">
          <cell r="A228" t="str">
            <v>Digitalisation</v>
          </cell>
          <cell r="B228" t="str">
            <v>A.Le Dily</v>
          </cell>
          <cell r="C228" t="str">
            <v>annaledily@gmail.com</v>
          </cell>
        </row>
        <row r="229">
          <cell r="A229" t="str">
            <v>Animation</v>
          </cell>
          <cell r="B229" t="str">
            <v>C.Bourgault</v>
          </cell>
          <cell r="C229" t="str">
            <v>clairebourgault.lodima@gmail.com</v>
          </cell>
        </row>
        <row r="230">
          <cell r="A230" t="str">
            <v>CEJM</v>
          </cell>
          <cell r="B230" t="str">
            <v>T.Fresnel</v>
          </cell>
          <cell r="C230" t="str">
            <v>thierry.fresnel@gmail.com</v>
          </cell>
        </row>
        <row r="231">
          <cell r="A231" t="str">
            <v>Gestion</v>
          </cell>
          <cell r="B231" t="str">
            <v>C.Bourgault</v>
          </cell>
          <cell r="C231" t="str">
            <v>clairebourgault.lodima@gmail.com</v>
          </cell>
        </row>
        <row r="232">
          <cell r="A232" t="str">
            <v>Anglais</v>
          </cell>
          <cell r="B232" t="str">
            <v>K.Kousaki</v>
          </cell>
          <cell r="C232" t="str">
            <v>kathykous87@gmail.com</v>
          </cell>
        </row>
        <row r="233">
          <cell r="A233" t="str">
            <v>CGE</v>
          </cell>
          <cell r="B233" t="str">
            <v>L.Moreno</v>
          </cell>
          <cell r="C233" t="str">
            <v>lauramoreno.p9@gmail.com</v>
          </cell>
        </row>
        <row r="234">
          <cell r="A234" t="str">
            <v>Projet citoyen</v>
          </cell>
          <cell r="B234" t="str">
            <v>C.Bourgault</v>
          </cell>
          <cell r="C234" t="str">
            <v>clairebourgault.lodima@gmail.com</v>
          </cell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9">
          <cell r="A239" t="str">
            <v>l-ma</v>
          </cell>
          <cell r="B239" t="str">
            <v>NDRC 8</v>
          </cell>
          <cell r="C239" t="str">
            <v>Mail formateur</v>
          </cell>
        </row>
        <row r="240">
          <cell r="A240" t="str">
            <v>Négociation</v>
          </cell>
          <cell r="B240" t="str">
            <v>F.Cochet</v>
          </cell>
          <cell r="C240" t="str">
            <v>fcochetlodima@gmail.com</v>
          </cell>
        </row>
        <row r="241">
          <cell r="A241" t="str">
            <v>Digitalisation</v>
          </cell>
          <cell r="B241" t="str">
            <v>A.Le Dily</v>
          </cell>
          <cell r="C241" t="str">
            <v>annaledily@gmail.com</v>
          </cell>
        </row>
        <row r="242">
          <cell r="A242" t="str">
            <v>Animation</v>
          </cell>
          <cell r="B242" t="str">
            <v>C.Bourgault</v>
          </cell>
          <cell r="C242" t="str">
            <v>clairebourgault.lodima@gmail.com</v>
          </cell>
        </row>
        <row r="243">
          <cell r="A243" t="str">
            <v>CEJM</v>
          </cell>
          <cell r="B243" t="str">
            <v>A.Chéa</v>
          </cell>
          <cell r="C243" t="str">
            <v>alain.chea968@gmail.com</v>
          </cell>
        </row>
        <row r="244">
          <cell r="A244" t="str">
            <v>Gestion</v>
          </cell>
          <cell r="B244" t="str">
            <v>C.Bourgault</v>
          </cell>
          <cell r="C244" t="str">
            <v>clairebourgault.lodima@gmail.com</v>
          </cell>
        </row>
        <row r="245">
          <cell r="A245" t="str">
            <v>Anglais</v>
          </cell>
          <cell r="B245" t="str">
            <v>G.Berhouc</v>
          </cell>
          <cell r="C245" t="str">
            <v>berhoucgaetan.formateurs@gmail.com</v>
          </cell>
        </row>
        <row r="246">
          <cell r="A246" t="str">
            <v>CGE</v>
          </cell>
          <cell r="B246" t="str">
            <v>L.Moreno</v>
          </cell>
          <cell r="C246" t="str">
            <v>lauramoreno.p9@gmail.com</v>
          </cell>
        </row>
        <row r="247">
          <cell r="A247" t="str">
            <v>Projet citoyen</v>
          </cell>
          <cell r="B247" t="str">
            <v>F.Cochet</v>
          </cell>
          <cell r="C247" t="str">
            <v>fcochetlodima@gmail.com</v>
          </cell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2">
          <cell r="A252" t="str">
            <v>j-v</v>
          </cell>
          <cell r="B252" t="str">
            <v>GPME2</v>
          </cell>
          <cell r="C252" t="str">
            <v>Mail formateur</v>
          </cell>
        </row>
        <row r="253">
          <cell r="A253" t="str">
            <v>CEJM</v>
          </cell>
          <cell r="B253" t="str">
            <v>A.C. Gauthier</v>
          </cell>
          <cell r="C253" t="str">
            <v>annece.gauthier@gmail.com</v>
          </cell>
        </row>
        <row r="254">
          <cell r="A254" t="str">
            <v>CGE</v>
          </cell>
          <cell r="B254" t="str">
            <v>M.Ferre</v>
          </cell>
          <cell r="C254" t="str">
            <v>manuel35240@gmail.com</v>
          </cell>
        </row>
        <row r="255">
          <cell r="A255" t="str">
            <v>Anglais</v>
          </cell>
          <cell r="B255" t="str">
            <v>G.Colleau</v>
          </cell>
          <cell r="C255" t="str">
            <v>gycolleau@gmail.com</v>
          </cell>
        </row>
        <row r="256">
          <cell r="A256" t="str">
            <v>Com E/O</v>
          </cell>
          <cell r="B256" t="str">
            <v>M.Poirrier</v>
          </cell>
          <cell r="C256" t="str">
            <v>melanie.poirriervodungbo@gmail.com</v>
          </cell>
        </row>
        <row r="257">
          <cell r="A257" t="str">
            <v>GR</v>
          </cell>
          <cell r="B257" t="str">
            <v>K.Madoun</v>
          </cell>
          <cell r="C257" t="str">
            <v>karimmadoun35@gmail.com</v>
          </cell>
        </row>
        <row r="258">
          <cell r="A258" t="str">
            <v>GRH</v>
          </cell>
          <cell r="B258" t="str">
            <v>M.Turuban</v>
          </cell>
          <cell r="C258" t="str">
            <v>magalie-turuban@wanadoo.fr</v>
          </cell>
        </row>
        <row r="259">
          <cell r="A259" t="str">
            <v>GRCF</v>
          </cell>
          <cell r="B259" t="str">
            <v>K.Madoun</v>
          </cell>
          <cell r="C259" t="str">
            <v>karimmadoun35@gmail.com</v>
          </cell>
        </row>
        <row r="260">
          <cell r="A260" t="str">
            <v>SFDPME</v>
          </cell>
          <cell r="B260" t="str">
            <v>J.C.Bruneau</v>
          </cell>
          <cell r="C260" t="str">
            <v>jeanchristophebruneau94@gmail.com</v>
          </cell>
        </row>
        <row r="261">
          <cell r="A261" t="str">
            <v>Atelier pro</v>
          </cell>
          <cell r="B261" t="str">
            <v>M.Borreau</v>
          </cell>
          <cell r="C261" t="str">
            <v>formationsmb@gmail.com</v>
          </cell>
        </row>
        <row r="262">
          <cell r="A262" t="str">
            <v>Projet citoyen</v>
          </cell>
          <cell r="B262"/>
          <cell r="C262"/>
        </row>
        <row r="263">
          <cell r="A263"/>
          <cell r="B263"/>
          <cell r="C263"/>
        </row>
        <row r="265">
          <cell r="A265" t="str">
            <v>Semaine</v>
          </cell>
          <cell r="B265" t="str">
            <v>M3</v>
          </cell>
          <cell r="C265" t="str">
            <v>Mail formateur</v>
          </cell>
        </row>
        <row r="266">
          <cell r="A266" t="str">
            <v>Stratégie commerciale 1</v>
          </cell>
          <cell r="B266" t="str">
            <v>E.Gorain</v>
          </cell>
          <cell r="C266" t="str">
            <v>emmanuel.gorain@grn-expertises.fr</v>
          </cell>
        </row>
        <row r="267">
          <cell r="A267" t="str">
            <v>Etude de marché</v>
          </cell>
          <cell r="B267" t="str">
            <v>T.Fresnel</v>
          </cell>
          <cell r="C267" t="str">
            <v>thierry.fresnel@gmail.com</v>
          </cell>
        </row>
        <row r="268">
          <cell r="A268" t="str">
            <v>Finance d'entreprise</v>
          </cell>
          <cell r="B268" t="str">
            <v>S.Colleu</v>
          </cell>
          <cell r="C268" t="str">
            <v>sandrinecolleu.lodima@gmail.com</v>
          </cell>
        </row>
        <row r="269">
          <cell r="A269" t="str">
            <v>Transformation digitale</v>
          </cell>
          <cell r="B269" t="str">
            <v>A. Le Dily</v>
          </cell>
          <cell r="C269" t="str">
            <v>annaledily@gmail.com</v>
          </cell>
        </row>
        <row r="270">
          <cell r="A270" t="str">
            <v>Anglais</v>
          </cell>
          <cell r="B270" t="str">
            <v>K.Kousaki</v>
          </cell>
          <cell r="C270" t="str">
            <v>kathykous87@gmail.com</v>
          </cell>
        </row>
        <row r="271">
          <cell r="A271" t="str">
            <v>Management d'entreprise</v>
          </cell>
          <cell r="B271" t="str">
            <v>M.Charruault</v>
          </cell>
          <cell r="C271" t="str">
            <v>charruault.marc@gmail.com</v>
          </cell>
        </row>
        <row r="272">
          <cell r="A272" t="str">
            <v>Méthodologie de projet</v>
          </cell>
          <cell r="B272" t="str">
            <v>O.Sanson</v>
          </cell>
          <cell r="C272" t="str">
            <v>osansonlodima@gmail.com</v>
          </cell>
        </row>
        <row r="273">
          <cell r="A273"/>
          <cell r="B273"/>
          <cell r="C273"/>
        </row>
        <row r="274">
          <cell r="A274"/>
          <cell r="B274"/>
          <cell r="C274"/>
        </row>
        <row r="275">
          <cell r="A275"/>
          <cell r="B275"/>
          <cell r="C275"/>
        </row>
        <row r="276">
          <cell r="A276"/>
          <cell r="B276"/>
          <cell r="C276"/>
        </row>
        <row r="278">
          <cell r="A278"/>
          <cell r="B278" t="str">
            <v>RDC14</v>
          </cell>
          <cell r="C278" t="str">
            <v>Mail formateur</v>
          </cell>
        </row>
        <row r="279">
          <cell r="A279" t="str">
            <v>BLOC 1</v>
          </cell>
          <cell r="B279" t="str">
            <v>S.Douillard</v>
          </cell>
          <cell r="C279" t="str">
            <v>douillardsylvie@gmail.com</v>
          </cell>
        </row>
        <row r="280">
          <cell r="A280" t="str">
            <v>BLOC 2</v>
          </cell>
          <cell r="B280" t="str">
            <v>J.C.Bruneau</v>
          </cell>
          <cell r="C280" t="str">
            <v>jeanchristophebruneau94@gmail.com</v>
          </cell>
        </row>
        <row r="281">
          <cell r="A281" t="str">
            <v>BLOC 3</v>
          </cell>
          <cell r="B281" t="str">
            <v>O.Sanson</v>
          </cell>
          <cell r="C281" t="str">
            <v>osansonlodima@gmail.com</v>
          </cell>
        </row>
        <row r="282">
          <cell r="A282"/>
          <cell r="B282"/>
          <cell r="C282"/>
        </row>
        <row r="283">
          <cell r="A283"/>
          <cell r="B283"/>
          <cell r="C283"/>
        </row>
        <row r="284">
          <cell r="A284"/>
          <cell r="B284"/>
          <cell r="C284"/>
        </row>
        <row r="285">
          <cell r="A285"/>
          <cell r="B285"/>
          <cell r="C285"/>
        </row>
        <row r="286">
          <cell r="A286"/>
          <cell r="B286"/>
          <cell r="C286"/>
        </row>
        <row r="287">
          <cell r="A287"/>
          <cell r="B287"/>
          <cell r="C287"/>
        </row>
        <row r="288">
          <cell r="A288"/>
          <cell r="B288"/>
          <cell r="C288"/>
        </row>
        <row r="289">
          <cell r="A289"/>
          <cell r="B289"/>
          <cell r="C289"/>
        </row>
        <row r="291">
          <cell r="A291"/>
          <cell r="B291" t="str">
            <v>RDC16</v>
          </cell>
          <cell r="C291" t="str">
            <v>Mail formateur</v>
          </cell>
        </row>
        <row r="292">
          <cell r="A292" t="str">
            <v>BLOC 1</v>
          </cell>
          <cell r="B292" t="str">
            <v>A.Morice</v>
          </cell>
          <cell r="C292" t="str">
            <v>amoricelodima@gmail.com</v>
          </cell>
        </row>
        <row r="293">
          <cell r="A293" t="str">
            <v>BLOC 2</v>
          </cell>
          <cell r="B293" t="str">
            <v>J.C.Bruneau</v>
          </cell>
          <cell r="C293" t="str">
            <v>jeanchristophebruneau94@gmail.com</v>
          </cell>
        </row>
        <row r="294">
          <cell r="A294" t="str">
            <v>BLOC 3</v>
          </cell>
          <cell r="B294" t="str">
            <v>C.Bourgault</v>
          </cell>
          <cell r="C294" t="str">
            <v>clairebourgault.lodima@gmail.com</v>
          </cell>
        </row>
        <row r="295">
          <cell r="A295"/>
          <cell r="B295"/>
          <cell r="C295"/>
        </row>
        <row r="296">
          <cell r="A296"/>
          <cell r="B296"/>
          <cell r="C296"/>
        </row>
        <row r="297">
          <cell r="A297"/>
          <cell r="B297"/>
          <cell r="C297"/>
        </row>
        <row r="298">
          <cell r="A298"/>
          <cell r="B298"/>
          <cell r="C298"/>
        </row>
        <row r="299">
          <cell r="A299"/>
          <cell r="B299"/>
          <cell r="C299"/>
        </row>
        <row r="300">
          <cell r="A300"/>
          <cell r="B300"/>
          <cell r="C300"/>
        </row>
        <row r="301">
          <cell r="A301"/>
          <cell r="B301"/>
          <cell r="C301"/>
        </row>
        <row r="302">
          <cell r="A302"/>
          <cell r="B302"/>
          <cell r="C302"/>
        </row>
        <row r="304">
          <cell r="A304"/>
          <cell r="B304" t="str">
            <v>RH1</v>
          </cell>
          <cell r="C304" t="str">
            <v>Mail formateur</v>
          </cell>
        </row>
        <row r="305">
          <cell r="A305"/>
          <cell r="B305"/>
          <cell r="C305"/>
        </row>
        <row r="306">
          <cell r="A306" t="str">
            <v>Culture et Cit euro</v>
          </cell>
          <cell r="B306" t="str">
            <v>J.C.Bruneau</v>
          </cell>
          <cell r="C306" t="str">
            <v>jeanchristophebruneau94@gmail.com</v>
          </cell>
        </row>
        <row r="307">
          <cell r="A307" t="str">
            <v>BLOC 1</v>
          </cell>
          <cell r="B307" t="str">
            <v>M.Turuban</v>
          </cell>
          <cell r="C307" t="str">
            <v>magalie-turuban@wanadoo.fr</v>
          </cell>
        </row>
        <row r="308">
          <cell r="A308" t="str">
            <v>Bien être au travail</v>
          </cell>
          <cell r="B308" t="str">
            <v>C.Viallard</v>
          </cell>
          <cell r="C308" t="str">
            <v>cviallard50@gmail.com</v>
          </cell>
        </row>
        <row r="309">
          <cell r="A309" t="str">
            <v>Anglais</v>
          </cell>
          <cell r="B309" t="str">
            <v>G.Colleau</v>
          </cell>
          <cell r="C309" t="str">
            <v>gycolleau@gmail.com</v>
          </cell>
        </row>
        <row r="310">
          <cell r="A310" t="str">
            <v>Attractivité recrutement</v>
          </cell>
          <cell r="B310" t="str">
            <v>K.Madoun</v>
          </cell>
          <cell r="C310" t="str">
            <v>k.madoun@orange.fr</v>
          </cell>
        </row>
        <row r="311">
          <cell r="A311" t="str">
            <v>GRH</v>
          </cell>
          <cell r="B311" t="str">
            <v>M.Turuban</v>
          </cell>
          <cell r="C311" t="str">
            <v>magalie-turuban@wanadoo.fr</v>
          </cell>
        </row>
        <row r="312">
          <cell r="A312"/>
          <cell r="B312"/>
          <cell r="C312"/>
        </row>
        <row r="313">
          <cell r="A313"/>
          <cell r="B313"/>
          <cell r="C313"/>
        </row>
        <row r="314">
          <cell r="A314"/>
          <cell r="B314"/>
          <cell r="C314"/>
        </row>
        <row r="315">
          <cell r="A315"/>
          <cell r="B315"/>
          <cell r="C315"/>
        </row>
        <row r="317">
          <cell r="A317"/>
          <cell r="B317" t="str">
            <v>EC3</v>
          </cell>
          <cell r="C317" t="str">
            <v>Mail formateur</v>
          </cell>
        </row>
        <row r="318">
          <cell r="A318"/>
          <cell r="B318"/>
          <cell r="C318" t="str">
            <v>chgraveleau35@gmail.com</v>
          </cell>
        </row>
        <row r="319">
          <cell r="A319"/>
          <cell r="B319"/>
          <cell r="C319"/>
        </row>
        <row r="320">
          <cell r="A320"/>
          <cell r="B320"/>
          <cell r="C320"/>
        </row>
        <row r="321">
          <cell r="A321"/>
          <cell r="B321"/>
          <cell r="C321"/>
        </row>
        <row r="322">
          <cell r="A322"/>
          <cell r="B322"/>
          <cell r="C322"/>
        </row>
        <row r="323">
          <cell r="A323"/>
          <cell r="B323"/>
          <cell r="C323"/>
        </row>
        <row r="324">
          <cell r="A324"/>
          <cell r="B324"/>
          <cell r="C324"/>
        </row>
        <row r="325">
          <cell r="A325"/>
          <cell r="B325"/>
          <cell r="C325"/>
        </row>
        <row r="326">
          <cell r="A326"/>
          <cell r="B326"/>
          <cell r="C326"/>
        </row>
        <row r="327">
          <cell r="A327"/>
          <cell r="B327"/>
          <cell r="C327"/>
        </row>
        <row r="328">
          <cell r="A328"/>
          <cell r="B328"/>
          <cell r="C328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Base"/>
      <sheetName val="BAC22"/>
      <sheetName val="BAC23"/>
      <sheetName val="BAC24"/>
      <sheetName val="BAC25"/>
      <sheetName val="MCO81"/>
      <sheetName val="MCO83"/>
      <sheetName val="MCO85"/>
      <sheetName val="MCO87"/>
      <sheetName val="MCO89"/>
      <sheetName val="MCO91"/>
      <sheetName val="MCO93"/>
      <sheetName val="MCO95"/>
      <sheetName val="MCO97"/>
      <sheetName val="GPME1"/>
      <sheetName val="NDRC4"/>
      <sheetName val="NDRC5"/>
      <sheetName val="NDRC6"/>
      <sheetName val="RDC10"/>
      <sheetName val="RDC12"/>
      <sheetName val="MASTERE1"/>
      <sheetName val="MASTERE2"/>
      <sheetName val="EC2"/>
    </sheetNames>
    <sheetDataSet>
      <sheetData sheetId="0"/>
      <sheetData sheetId="1">
        <row r="3">
          <cell r="A3" t="str">
            <v>l-ma</v>
          </cell>
          <cell r="B3" t="str">
            <v>BTS MCO 81</v>
          </cell>
          <cell r="C3"/>
        </row>
        <row r="4">
          <cell r="A4" t="str">
            <v>Gestion</v>
          </cell>
          <cell r="B4" t="str">
            <v>A.Morice</v>
          </cell>
          <cell r="C4" t="str">
            <v>amoricelodima@gmail.com</v>
          </cell>
        </row>
        <row r="5">
          <cell r="A5" t="str">
            <v>ADOC</v>
          </cell>
          <cell r="B5" t="str">
            <v>O.Sanson</v>
          </cell>
          <cell r="C5" t="str">
            <v>osansonlodima@gmail.com</v>
          </cell>
        </row>
        <row r="6">
          <cell r="A6" t="str">
            <v>DRCVC</v>
          </cell>
          <cell r="B6" t="str">
            <v>S.Douillard</v>
          </cell>
          <cell r="C6" t="str">
            <v>douillardsylvie@gmail.com</v>
          </cell>
        </row>
        <row r="7">
          <cell r="A7" t="str">
            <v>CEJM</v>
          </cell>
          <cell r="B7" t="str">
            <v>A.Chéa</v>
          </cell>
          <cell r="C7" t="str">
            <v>alain.chea968@gmail.com</v>
          </cell>
        </row>
        <row r="8">
          <cell r="A8" t="str">
            <v>Anglais</v>
          </cell>
          <cell r="B8" t="str">
            <v>G.Berhouc</v>
          </cell>
          <cell r="C8" t="str">
            <v>berhoucgaetan.formateurs@gmail.com</v>
          </cell>
        </row>
        <row r="9">
          <cell r="A9" t="str">
            <v>CGE</v>
          </cell>
          <cell r="B9" t="str">
            <v>L.Moreno</v>
          </cell>
          <cell r="C9" t="str">
            <v>lauramoreno.p9@gmail.com</v>
          </cell>
        </row>
        <row r="10">
          <cell r="A10" t="str">
            <v>Management</v>
          </cell>
          <cell r="B10" t="str">
            <v>C.Bourgault</v>
          </cell>
          <cell r="C10" t="str">
            <v>clairebourgault.lodima@gmail.com</v>
          </cell>
        </row>
        <row r="11">
          <cell r="A11"/>
          <cell r="B11"/>
          <cell r="C11"/>
        </row>
        <row r="13">
          <cell r="A13" t="str">
            <v>ma-me</v>
          </cell>
          <cell r="B13" t="str">
            <v>BTS MCO 83</v>
          </cell>
          <cell r="C13"/>
        </row>
        <row r="14">
          <cell r="A14" t="str">
            <v>Gestion</v>
          </cell>
          <cell r="B14" t="str">
            <v>C.Bourgault</v>
          </cell>
          <cell r="C14" t="str">
            <v>clairebourgault.lodima@gmail.com</v>
          </cell>
        </row>
        <row r="15">
          <cell r="A15" t="str">
            <v>ADOC</v>
          </cell>
          <cell r="B15" t="str">
            <v>A.Morice</v>
          </cell>
          <cell r="C15" t="str">
            <v>amoricelodima@gmail.com</v>
          </cell>
        </row>
        <row r="16">
          <cell r="A16" t="str">
            <v>DRCVC</v>
          </cell>
          <cell r="B16" t="str">
            <v>S.Douillard</v>
          </cell>
          <cell r="C16" t="str">
            <v>douillardsylvie@gmail.com</v>
          </cell>
        </row>
        <row r="17">
          <cell r="A17" t="str">
            <v>CEJM</v>
          </cell>
          <cell r="B17" t="str">
            <v>A.Christien</v>
          </cell>
          <cell r="C17" t="str">
            <v>lilichristien@gmail.com</v>
          </cell>
        </row>
        <row r="18">
          <cell r="A18" t="str">
            <v>Anglais</v>
          </cell>
          <cell r="B18" t="str">
            <v>K.Kousaki</v>
          </cell>
          <cell r="C18" t="str">
            <v>kathykous87@gmail.com</v>
          </cell>
        </row>
        <row r="19">
          <cell r="A19" t="str">
            <v>CGE</v>
          </cell>
          <cell r="B19" t="str">
            <v>G.Richard</v>
          </cell>
          <cell r="C19" t="str">
            <v>grichardlodima@gmail.com</v>
          </cell>
        </row>
        <row r="20">
          <cell r="A20" t="str">
            <v>Management</v>
          </cell>
          <cell r="B20" t="str">
            <v>F.Cochet</v>
          </cell>
          <cell r="C20" t="str">
            <v>fcochetlodima@gmail.com</v>
          </cell>
        </row>
        <row r="21">
          <cell r="A21"/>
          <cell r="B21"/>
          <cell r="C21"/>
        </row>
        <row r="23">
          <cell r="A23" t="str">
            <v>me-j</v>
          </cell>
          <cell r="B23" t="str">
            <v>BTS MCO 85</v>
          </cell>
          <cell r="C23"/>
        </row>
        <row r="24">
          <cell r="A24" t="str">
            <v>Gestion</v>
          </cell>
          <cell r="B24" t="str">
            <v>S.Douillard</v>
          </cell>
          <cell r="C24" t="str">
            <v>douillardsylvie@gmail.com</v>
          </cell>
        </row>
        <row r="25">
          <cell r="A25" t="str">
            <v>ADOC</v>
          </cell>
          <cell r="B25" t="str">
            <v>A.Morice</v>
          </cell>
          <cell r="C25" t="str">
            <v>amoricelodima@gmail.com</v>
          </cell>
        </row>
        <row r="26">
          <cell r="A26" t="str">
            <v>DRCVC</v>
          </cell>
          <cell r="B26" t="str">
            <v>F.Cochet</v>
          </cell>
          <cell r="C26" t="str">
            <v>fcochetlodima@gmail.com</v>
          </cell>
        </row>
        <row r="27">
          <cell r="A27" t="str">
            <v>CEJM</v>
          </cell>
          <cell r="B27" t="str">
            <v>T.Fresnel</v>
          </cell>
          <cell r="C27" t="str">
            <v>thierry.fresnel@gmail.com</v>
          </cell>
        </row>
        <row r="28">
          <cell r="A28" t="str">
            <v>Anglais</v>
          </cell>
          <cell r="B28" t="str">
            <v>G.Berhouc</v>
          </cell>
          <cell r="C28" t="str">
            <v>berhoucgaetan.formateurs@gmail.com</v>
          </cell>
        </row>
        <row r="29">
          <cell r="A29" t="str">
            <v>CGE</v>
          </cell>
          <cell r="B29" t="str">
            <v>L.Moreno</v>
          </cell>
          <cell r="C29" t="str">
            <v>lauramoreno.p9@gmail.com</v>
          </cell>
        </row>
        <row r="30">
          <cell r="A30" t="str">
            <v>Management</v>
          </cell>
          <cell r="B30" t="str">
            <v>C.Bourgault</v>
          </cell>
          <cell r="C30" t="str">
            <v>clairebourgault.lodima@gmail.com</v>
          </cell>
        </row>
        <row r="31">
          <cell r="A31"/>
          <cell r="B31"/>
          <cell r="C31"/>
        </row>
        <row r="33">
          <cell r="A33" t="str">
            <v>l-ma</v>
          </cell>
          <cell r="B33" t="str">
            <v>BTS MCO 87</v>
          </cell>
          <cell r="C33"/>
        </row>
        <row r="34">
          <cell r="A34" t="str">
            <v>Gestion</v>
          </cell>
          <cell r="B34" t="str">
            <v>A.Morice</v>
          </cell>
          <cell r="C34" t="str">
            <v>amoricelodima@gmail.com</v>
          </cell>
        </row>
        <row r="35">
          <cell r="A35" t="str">
            <v>ADOC</v>
          </cell>
          <cell r="B35" t="str">
            <v>O.Sanson</v>
          </cell>
          <cell r="C35" t="str">
            <v>osansonlodima@gmail.com</v>
          </cell>
        </row>
        <row r="36">
          <cell r="A36" t="str">
            <v>DRCVC</v>
          </cell>
          <cell r="B36" t="str">
            <v>S.Douillard</v>
          </cell>
          <cell r="C36" t="str">
            <v>douillardsylvie@gmail.com</v>
          </cell>
        </row>
        <row r="37">
          <cell r="A37" t="str">
            <v>CEJM</v>
          </cell>
          <cell r="B37" t="str">
            <v>A.Chéa</v>
          </cell>
          <cell r="C37" t="str">
            <v>alain.chea968@gmail.com</v>
          </cell>
        </row>
        <row r="38">
          <cell r="A38" t="str">
            <v>Anglais</v>
          </cell>
          <cell r="B38" t="str">
            <v>K.Kousaki</v>
          </cell>
          <cell r="C38" t="str">
            <v>kathykous87@gmail.com</v>
          </cell>
        </row>
        <row r="39">
          <cell r="A39" t="str">
            <v>CGE</v>
          </cell>
          <cell r="B39" t="str">
            <v>L.Moreno</v>
          </cell>
          <cell r="C39" t="str">
            <v>lauramoreno.p9@gmail.com</v>
          </cell>
        </row>
        <row r="40">
          <cell r="A40" t="str">
            <v>Management</v>
          </cell>
          <cell r="B40" t="str">
            <v>F.Cochet</v>
          </cell>
          <cell r="C40" t="str">
            <v>fcochetlodima@gmail.com</v>
          </cell>
        </row>
        <row r="41">
          <cell r="A41"/>
          <cell r="B41"/>
          <cell r="C41"/>
        </row>
        <row r="93">
          <cell r="A93" t="str">
            <v>lundi</v>
          </cell>
          <cell r="B93" t="str">
            <v xml:space="preserve"> NDRC 4</v>
          </cell>
          <cell r="C93"/>
        </row>
        <row r="94">
          <cell r="A94" t="str">
            <v>Négociation</v>
          </cell>
          <cell r="B94" t="str">
            <v>F.Cochet</v>
          </cell>
          <cell r="C94" t="str">
            <v>fcochetlodima@gmail.com</v>
          </cell>
        </row>
        <row r="95">
          <cell r="A95" t="str">
            <v>Digitalisation</v>
          </cell>
          <cell r="B95" t="str">
            <v>A.Verbruggen</v>
          </cell>
          <cell r="C95" t="str">
            <v>aurelie.verbruggen@gmail.com</v>
          </cell>
        </row>
        <row r="96">
          <cell r="A96" t="str">
            <v>Animation</v>
          </cell>
          <cell r="B96" t="str">
            <v>C.Bourgault</v>
          </cell>
          <cell r="C96" t="str">
            <v>clairebourgault.lodima@gmail.com</v>
          </cell>
        </row>
        <row r="97">
          <cell r="A97" t="str">
            <v>CEJM</v>
          </cell>
          <cell r="B97" t="str">
            <v>C.Turina</v>
          </cell>
          <cell r="C97" t="str">
            <v>madameturina@gmail.com</v>
          </cell>
        </row>
        <row r="98">
          <cell r="A98" t="str">
            <v>Gestion</v>
          </cell>
          <cell r="B98" t="str">
            <v>C.Bourgault</v>
          </cell>
          <cell r="C98" t="str">
            <v>clairebourgault.lodima@gmail.com</v>
          </cell>
        </row>
        <row r="99">
          <cell r="A99" t="str">
            <v>Anglais</v>
          </cell>
          <cell r="B99" t="str">
            <v>K.Kousaki</v>
          </cell>
          <cell r="C99" t="str">
            <v xml:space="preserve">kathykous87@gmail.com </v>
          </cell>
        </row>
        <row r="100">
          <cell r="A100" t="str">
            <v>CGE</v>
          </cell>
          <cell r="B100" t="str">
            <v>L.Moreno</v>
          </cell>
          <cell r="C100" t="str">
            <v>lauramoreno.p9@gmail.com</v>
          </cell>
        </row>
        <row r="122">
          <cell r="A122" t="str">
            <v>j-v</v>
          </cell>
          <cell r="B122" t="str">
            <v>GPME</v>
          </cell>
          <cell r="C122"/>
        </row>
        <row r="123">
          <cell r="A123" t="str">
            <v>CEJM</v>
          </cell>
          <cell r="B123" t="str">
            <v>A.C. Gauthier</v>
          </cell>
          <cell r="C123" t="str">
            <v>annece.gauthier@gmail.com</v>
          </cell>
        </row>
        <row r="124">
          <cell r="A124" t="str">
            <v>CGE</v>
          </cell>
          <cell r="B124" t="str">
            <v>G.Richard</v>
          </cell>
          <cell r="C124" t="str">
            <v>grichardlodima@gmail.com</v>
          </cell>
        </row>
        <row r="125">
          <cell r="A125" t="str">
            <v>Anglais</v>
          </cell>
          <cell r="B125" t="str">
            <v>R.Prechtl</v>
          </cell>
          <cell r="C125" t="str">
            <v>prechtlrenate@gmail.com</v>
          </cell>
        </row>
        <row r="126">
          <cell r="A126" t="str">
            <v>Com E/O</v>
          </cell>
          <cell r="B126" t="str">
            <v>M.Poirrier</v>
          </cell>
          <cell r="C126" t="str">
            <v>melanie.poirriervodungbo@gmail.com</v>
          </cell>
        </row>
        <row r="127">
          <cell r="A127" t="str">
            <v>GR</v>
          </cell>
          <cell r="B127" t="str">
            <v>C.Soudy</v>
          </cell>
          <cell r="C127" t="str">
            <v>catherine.soudy@orange.fr</v>
          </cell>
        </row>
        <row r="128">
          <cell r="A128" t="str">
            <v>GRH</v>
          </cell>
          <cell r="B128" t="str">
            <v>M.Turuban</v>
          </cell>
          <cell r="C128" t="str">
            <v>magalie-turuban@wanadoo.fr</v>
          </cell>
        </row>
        <row r="129">
          <cell r="A129" t="str">
            <v>GRCF</v>
          </cell>
          <cell r="B129" t="str">
            <v>D.Buffard</v>
          </cell>
          <cell r="C129" t="str">
            <v>danyhommettebuffardlodimaouest@gmail.com</v>
          </cell>
        </row>
        <row r="130">
          <cell r="A130" t="str">
            <v>SFDPME</v>
          </cell>
          <cell r="B130" t="str">
            <v>J.C.Bruneau</v>
          </cell>
          <cell r="C130" t="str">
            <v>jeanchristophebruneau94@gmail.com</v>
          </cell>
        </row>
        <row r="131">
          <cell r="A131" t="str">
            <v>Projet citoyen</v>
          </cell>
          <cell r="B131"/>
          <cell r="C131"/>
        </row>
        <row r="133">
          <cell r="A133" t="str">
            <v>l-ma</v>
          </cell>
          <cell r="B133" t="str">
            <v>RDC 10</v>
          </cell>
          <cell r="C133" t="str">
            <v>Mail</v>
          </cell>
        </row>
        <row r="134">
          <cell r="A134" t="str">
            <v>BLOC 1</v>
          </cell>
          <cell r="B134" t="str">
            <v>S.Douillard</v>
          </cell>
          <cell r="C134" t="str">
            <v>douillardsylvie@gmail.com</v>
          </cell>
        </row>
        <row r="135">
          <cell r="A135" t="str">
            <v>BLOC 2</v>
          </cell>
          <cell r="B135" t="str">
            <v>J.C.Bruneau</v>
          </cell>
          <cell r="C135" t="str">
            <v>jeanchristophebruneau94@gmail.com</v>
          </cell>
        </row>
        <row r="136">
          <cell r="A136" t="str">
            <v>BLOC 3</v>
          </cell>
          <cell r="B136" t="str">
            <v>C.Bourgault</v>
          </cell>
          <cell r="C136" t="str">
            <v>clairebourgault.lodima@gmail.com</v>
          </cell>
        </row>
        <row r="137">
          <cell r="A137" t="str">
            <v>Digitalisation</v>
          </cell>
          <cell r="B137" t="str">
            <v>A.Verbruggen</v>
          </cell>
          <cell r="C137" t="str">
            <v>averbruggenlodima@gmail.com</v>
          </cell>
        </row>
        <row r="138">
          <cell r="A138"/>
          <cell r="B138"/>
          <cell r="C138"/>
        </row>
        <row r="139">
          <cell r="A139"/>
          <cell r="B139"/>
          <cell r="C139"/>
        </row>
        <row r="140">
          <cell r="A140"/>
          <cell r="B140"/>
          <cell r="C140"/>
        </row>
        <row r="142">
          <cell r="A142" t="str">
            <v>semaine</v>
          </cell>
          <cell r="B142" t="str">
            <v>RDC 12</v>
          </cell>
          <cell r="C142" t="str">
            <v>Mail</v>
          </cell>
        </row>
        <row r="143">
          <cell r="A143" t="str">
            <v>BLOC 1</v>
          </cell>
          <cell r="B143" t="str">
            <v>E.Gorain</v>
          </cell>
          <cell r="C143" t="str">
            <v>emmanuel.gorain@grn-expertises.fr</v>
          </cell>
        </row>
        <row r="144">
          <cell r="A144" t="str">
            <v>BLOC 2</v>
          </cell>
          <cell r="B144" t="str">
            <v>J.C.Bruneau</v>
          </cell>
          <cell r="C144" t="str">
            <v>jeanchristophebruneau94@gmail.com</v>
          </cell>
        </row>
        <row r="145">
          <cell r="A145" t="str">
            <v>BLOC 3</v>
          </cell>
          <cell r="B145" t="str">
            <v>C.Geffroy</v>
          </cell>
          <cell r="C145" t="str">
            <v>christelegeffroy8@gmail.com</v>
          </cell>
        </row>
        <row r="146">
          <cell r="A146" t="str">
            <v>Digitalisation</v>
          </cell>
          <cell r="B146" t="str">
            <v>A.Verbruggen</v>
          </cell>
          <cell r="C146" t="str">
            <v>averbruggenlodima@gmail.com</v>
          </cell>
        </row>
        <row r="147">
          <cell r="A147"/>
          <cell r="B147"/>
          <cell r="C147"/>
        </row>
        <row r="148">
          <cell r="A148"/>
          <cell r="B148"/>
          <cell r="C148"/>
        </row>
        <row r="149">
          <cell r="A149"/>
          <cell r="B149"/>
          <cell r="C149"/>
        </row>
        <row r="203">
          <cell r="A203" t="str">
            <v>Lundi</v>
          </cell>
          <cell r="B203" t="str">
            <v>Mastère1</v>
          </cell>
          <cell r="C203"/>
        </row>
        <row r="204">
          <cell r="A204" t="str">
            <v>Management</v>
          </cell>
          <cell r="B204" t="str">
            <v>M.Turuban</v>
          </cell>
          <cell r="C204" t="str">
            <v>magalie-turuban@wanadoo.fr</v>
          </cell>
        </row>
        <row r="205">
          <cell r="A205" t="str">
            <v>Management 2</v>
          </cell>
          <cell r="B205" t="str">
            <v>C.Geffroy</v>
          </cell>
          <cell r="C205" t="str">
            <v>christelegeffroy8@gmail.com</v>
          </cell>
        </row>
        <row r="206">
          <cell r="A206" t="str">
            <v>Retail</v>
          </cell>
          <cell r="B206" t="str">
            <v>J.C.Bruneau</v>
          </cell>
          <cell r="C206" t="str">
            <v>jeanchristophebruneau94@gmail.com</v>
          </cell>
        </row>
        <row r="207">
          <cell r="A207" t="str">
            <v>Wholesale</v>
          </cell>
          <cell r="B207" t="str">
            <v>E.Gorain</v>
          </cell>
          <cell r="C207" t="str">
            <v>emmanuel.gorain@grn-expertises.fr</v>
          </cell>
        </row>
        <row r="208">
          <cell r="A208" t="str">
            <v>Transformation digitale</v>
          </cell>
          <cell r="B208" t="str">
            <v>A.Verbruggen</v>
          </cell>
          <cell r="C208" t="str">
            <v>averbruggenlodima@gmail.com</v>
          </cell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cochetlodima@gmail.com" TargetMode="External"/><Relationship Id="rId18" Type="http://schemas.openxmlformats.org/officeDocument/2006/relationships/hyperlink" Target="mailto:alain.chea968@gmail.com" TargetMode="External"/><Relationship Id="rId26" Type="http://schemas.openxmlformats.org/officeDocument/2006/relationships/hyperlink" Target="mailto:clairebourgault.lodima@gmail.com" TargetMode="External"/><Relationship Id="rId39" Type="http://schemas.openxmlformats.org/officeDocument/2006/relationships/hyperlink" Target="mailto:geraldineortega1974@gmail.com" TargetMode="External"/><Relationship Id="rId21" Type="http://schemas.openxmlformats.org/officeDocument/2006/relationships/hyperlink" Target="mailto:fcochetlodima@gmail.com" TargetMode="External"/><Relationship Id="rId34" Type="http://schemas.openxmlformats.org/officeDocument/2006/relationships/hyperlink" Target="mailto:prechtlrenate@gmail.com" TargetMode="External"/><Relationship Id="rId42" Type="http://schemas.openxmlformats.org/officeDocument/2006/relationships/hyperlink" Target="mailto:chgraveleau35@gmail.com" TargetMode="External"/><Relationship Id="rId47" Type="http://schemas.openxmlformats.org/officeDocument/2006/relationships/hyperlink" Target="mailto:geraldineortega1974@gmail.com" TargetMode="External"/><Relationship Id="rId50" Type="http://schemas.openxmlformats.org/officeDocument/2006/relationships/hyperlink" Target="mailto:moijo.jp@gmail.com" TargetMode="External"/><Relationship Id="rId55" Type="http://schemas.openxmlformats.org/officeDocument/2006/relationships/hyperlink" Target="mailto:gfremontlodima@gmail.com" TargetMode="External"/><Relationship Id="rId63" Type="http://schemas.openxmlformats.org/officeDocument/2006/relationships/hyperlink" Target="mailto:soulka@gmail.com" TargetMode="External"/><Relationship Id="rId7" Type="http://schemas.openxmlformats.org/officeDocument/2006/relationships/hyperlink" Target="mailto:douillardsylvie@gmail.com" TargetMode="External"/><Relationship Id="rId2" Type="http://schemas.openxmlformats.org/officeDocument/2006/relationships/hyperlink" Target="mailto:douillardsylvie@gmail.com" TargetMode="External"/><Relationship Id="rId16" Type="http://schemas.openxmlformats.org/officeDocument/2006/relationships/hyperlink" Target="mailto:amoricelodima@gmail.com" TargetMode="External"/><Relationship Id="rId20" Type="http://schemas.openxmlformats.org/officeDocument/2006/relationships/hyperlink" Target="mailto:fcochetlodima@gmail.com" TargetMode="External"/><Relationship Id="rId29" Type="http://schemas.openxmlformats.org/officeDocument/2006/relationships/hyperlink" Target="mailto:christelegeffroy8@gmail.com" TargetMode="External"/><Relationship Id="rId41" Type="http://schemas.openxmlformats.org/officeDocument/2006/relationships/hyperlink" Target="mailto:objectifmaths35@gmail.com" TargetMode="External"/><Relationship Id="rId54" Type="http://schemas.openxmlformats.org/officeDocument/2006/relationships/hyperlink" Target="mailto:joris.brouard@gmail.com" TargetMode="External"/><Relationship Id="rId62" Type="http://schemas.openxmlformats.org/officeDocument/2006/relationships/hyperlink" Target="mailto:tsitruklodima@gmail.com" TargetMode="External"/><Relationship Id="rId1" Type="http://schemas.openxmlformats.org/officeDocument/2006/relationships/hyperlink" Target="mailto:amoricelodima@gmail.com" TargetMode="External"/><Relationship Id="rId6" Type="http://schemas.openxmlformats.org/officeDocument/2006/relationships/hyperlink" Target="mailto:amoricelodima@gmail.com" TargetMode="External"/><Relationship Id="rId11" Type="http://schemas.openxmlformats.org/officeDocument/2006/relationships/hyperlink" Target="mailto:douillardsylvie@gmail.com" TargetMode="External"/><Relationship Id="rId24" Type="http://schemas.openxmlformats.org/officeDocument/2006/relationships/hyperlink" Target="mailto:alain.chea968@gmail.com" TargetMode="External"/><Relationship Id="rId32" Type="http://schemas.openxmlformats.org/officeDocument/2006/relationships/hyperlink" Target="mailto:kathykous87@gmail.com" TargetMode="External"/><Relationship Id="rId37" Type="http://schemas.openxmlformats.org/officeDocument/2006/relationships/hyperlink" Target="mailto:lauramoreno.p9@gmail.com" TargetMode="External"/><Relationship Id="rId40" Type="http://schemas.openxmlformats.org/officeDocument/2006/relationships/hyperlink" Target="mailto:lauramoreno.p9@gmail.com" TargetMode="External"/><Relationship Id="rId45" Type="http://schemas.openxmlformats.org/officeDocument/2006/relationships/hyperlink" Target="mailto:osansonlodima@gmail.com" TargetMode="External"/><Relationship Id="rId53" Type="http://schemas.openxmlformats.org/officeDocument/2006/relationships/hyperlink" Target="mailto:objectifmaths35@gmail.com" TargetMode="External"/><Relationship Id="rId58" Type="http://schemas.openxmlformats.org/officeDocument/2006/relationships/hyperlink" Target="mailto:madameturina@gmail.com" TargetMode="External"/><Relationship Id="rId66" Type="http://schemas.openxmlformats.org/officeDocument/2006/relationships/hyperlink" Target="mailto:laurentcoulibaly74@gmail.com" TargetMode="External"/><Relationship Id="rId5" Type="http://schemas.openxmlformats.org/officeDocument/2006/relationships/hyperlink" Target="mailto:clairebourgault.lodima@gmail.com" TargetMode="External"/><Relationship Id="rId15" Type="http://schemas.openxmlformats.org/officeDocument/2006/relationships/hyperlink" Target="mailto:clairebourgault.lodima@gmail.com" TargetMode="External"/><Relationship Id="rId23" Type="http://schemas.openxmlformats.org/officeDocument/2006/relationships/hyperlink" Target="mailto:fcochetlodima@gmail.com" TargetMode="External"/><Relationship Id="rId28" Type="http://schemas.openxmlformats.org/officeDocument/2006/relationships/hyperlink" Target="mailto:berhoucgaetan.formateurs@gmail.com" TargetMode="External"/><Relationship Id="rId36" Type="http://schemas.openxmlformats.org/officeDocument/2006/relationships/hyperlink" Target="mailto:christelegeffroy8@gmail.com" TargetMode="External"/><Relationship Id="rId49" Type="http://schemas.openxmlformats.org/officeDocument/2006/relationships/hyperlink" Target="mailto:chgraveleau35@gmail.com" TargetMode="External"/><Relationship Id="rId57" Type="http://schemas.openxmlformats.org/officeDocument/2006/relationships/hyperlink" Target="mailto:chgraveleau35@gmail.com" TargetMode="External"/><Relationship Id="rId61" Type="http://schemas.openxmlformats.org/officeDocument/2006/relationships/hyperlink" Target="mailto:christelegeffroy8@gmail.com" TargetMode="External"/><Relationship Id="rId10" Type="http://schemas.openxmlformats.org/officeDocument/2006/relationships/hyperlink" Target="mailto:fcochetlodima@gmail.com" TargetMode="External"/><Relationship Id="rId19" Type="http://schemas.openxmlformats.org/officeDocument/2006/relationships/hyperlink" Target="mailto:kathykous87@gmail.com" TargetMode="External"/><Relationship Id="rId31" Type="http://schemas.openxmlformats.org/officeDocument/2006/relationships/hyperlink" Target="mailto:clairebourgault.lodima@gmail.com" TargetMode="External"/><Relationship Id="rId44" Type="http://schemas.openxmlformats.org/officeDocument/2006/relationships/hyperlink" Target="mailto:fredericlodima@gmail.com" TargetMode="External"/><Relationship Id="rId52" Type="http://schemas.openxmlformats.org/officeDocument/2006/relationships/hyperlink" Target="mailto:chgraveleau35@gmail.com" TargetMode="External"/><Relationship Id="rId60" Type="http://schemas.openxmlformats.org/officeDocument/2006/relationships/hyperlink" Target="mailto:jeanchristophebruneau94@gmail.com" TargetMode="External"/><Relationship Id="rId65" Type="http://schemas.openxmlformats.org/officeDocument/2006/relationships/hyperlink" Target="mailto:catherine.soudy@orange.fr" TargetMode="External"/><Relationship Id="rId4" Type="http://schemas.openxmlformats.org/officeDocument/2006/relationships/hyperlink" Target="mailto:clairebourgault.lodima@gmail.com" TargetMode="External"/><Relationship Id="rId9" Type="http://schemas.openxmlformats.org/officeDocument/2006/relationships/hyperlink" Target="mailto:kathykous87@gmail.com" TargetMode="External"/><Relationship Id="rId14" Type="http://schemas.openxmlformats.org/officeDocument/2006/relationships/hyperlink" Target="mailto:thierry.fresnel@gmail.com" TargetMode="External"/><Relationship Id="rId22" Type="http://schemas.openxmlformats.org/officeDocument/2006/relationships/hyperlink" Target="mailto:fcochetlodima@gmail.com" TargetMode="External"/><Relationship Id="rId27" Type="http://schemas.openxmlformats.org/officeDocument/2006/relationships/hyperlink" Target="mailto:lilichristien@gmail.com" TargetMode="External"/><Relationship Id="rId30" Type="http://schemas.openxmlformats.org/officeDocument/2006/relationships/hyperlink" Target="mailto:clairebourgault.lodima@gmail.com" TargetMode="External"/><Relationship Id="rId35" Type="http://schemas.openxmlformats.org/officeDocument/2006/relationships/hyperlink" Target="mailto:douillardsylvie@gmail.com" TargetMode="External"/><Relationship Id="rId43" Type="http://schemas.openxmlformats.org/officeDocument/2006/relationships/hyperlink" Target="mailto:stephanetraversfpa@gmail.com" TargetMode="External"/><Relationship Id="rId48" Type="http://schemas.openxmlformats.org/officeDocument/2006/relationships/hyperlink" Target="mailto:objectifmaths35@gmail.com" TargetMode="External"/><Relationship Id="rId56" Type="http://schemas.openxmlformats.org/officeDocument/2006/relationships/hyperlink" Target="mailto:objectifmaths35@gmail.com" TargetMode="External"/><Relationship Id="rId64" Type="http://schemas.openxmlformats.org/officeDocument/2006/relationships/hyperlink" Target="mailto:charruault.marc@gmail.com" TargetMode="External"/><Relationship Id="rId8" Type="http://schemas.openxmlformats.org/officeDocument/2006/relationships/hyperlink" Target="mailto:lilichristien@gmail.com" TargetMode="External"/><Relationship Id="rId51" Type="http://schemas.openxmlformats.org/officeDocument/2006/relationships/hyperlink" Target="mailto:joris.brouard@gmail.com" TargetMode="External"/><Relationship Id="rId3" Type="http://schemas.openxmlformats.org/officeDocument/2006/relationships/hyperlink" Target="mailto:alain.chea968@gmail.com" TargetMode="External"/><Relationship Id="rId12" Type="http://schemas.openxmlformats.org/officeDocument/2006/relationships/hyperlink" Target="mailto:amoricelodima@gmail.com" TargetMode="External"/><Relationship Id="rId17" Type="http://schemas.openxmlformats.org/officeDocument/2006/relationships/hyperlink" Target="mailto:douillardsylvie@gmail.com" TargetMode="External"/><Relationship Id="rId25" Type="http://schemas.openxmlformats.org/officeDocument/2006/relationships/hyperlink" Target="mailto:clairebourgault.lodima@gmail.com" TargetMode="External"/><Relationship Id="rId33" Type="http://schemas.openxmlformats.org/officeDocument/2006/relationships/hyperlink" Target="mailto:lauramoreno.p9@gmail.com" TargetMode="External"/><Relationship Id="rId38" Type="http://schemas.openxmlformats.org/officeDocument/2006/relationships/hyperlink" Target="mailto:kaignel@gmail.com" TargetMode="External"/><Relationship Id="rId46" Type="http://schemas.openxmlformats.org/officeDocument/2006/relationships/hyperlink" Target="mailto:kaignel@gmail.com" TargetMode="External"/><Relationship Id="rId59" Type="http://schemas.openxmlformats.org/officeDocument/2006/relationships/hyperlink" Target="mailto:gfremontlodi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C8F4-CB25-45C5-85D7-28BD33DCDA29}">
  <dimension ref="A1:CF165"/>
  <sheetViews>
    <sheetView tabSelected="1" topLeftCell="Y18" zoomScale="120" zoomScaleNormal="120" workbookViewId="0">
      <selection activeCell="AT138" sqref="AT138:AU138"/>
    </sheetView>
  </sheetViews>
  <sheetFormatPr baseColWidth="10" defaultRowHeight="12.75" x14ac:dyDescent="0.25"/>
  <cols>
    <col min="1" max="1" width="0.85546875" style="1" customWidth="1"/>
    <col min="2" max="2" width="6.42578125" style="1" customWidth="1"/>
    <col min="3" max="3" width="0.85546875" style="1" customWidth="1"/>
    <col min="4" max="5" width="9.7109375" style="1" customWidth="1"/>
    <col min="6" max="6" width="0.85546875" style="1" customWidth="1"/>
    <col min="7" max="8" width="9.7109375" style="1" customWidth="1"/>
    <col min="9" max="9" width="0.85546875" style="1" customWidth="1"/>
    <col min="10" max="11" width="9.7109375" style="1" customWidth="1"/>
    <col min="12" max="12" width="0.85546875" style="1" customWidth="1"/>
    <col min="13" max="14" width="9.7109375" style="1" customWidth="1"/>
    <col min="15" max="15" width="0.85546875" style="1" customWidth="1"/>
    <col min="16" max="17" width="9.7109375" style="1" customWidth="1"/>
    <col min="18" max="18" width="0.85546875" style="1" customWidth="1"/>
    <col min="19" max="20" width="9.7109375" style="1" customWidth="1"/>
    <col min="21" max="21" width="0.85546875" style="1" customWidth="1"/>
    <col min="22" max="22" width="29.140625" style="38" customWidth="1"/>
    <col min="23" max="23" width="37.7109375" style="38" customWidth="1"/>
    <col min="24" max="24" width="4.5703125" style="38" customWidth="1"/>
    <col min="25" max="25" width="0.85546875" style="1" customWidth="1"/>
    <col min="26" max="26" width="6.42578125" style="1" customWidth="1"/>
    <col min="27" max="27" width="0.85546875" style="1" customWidth="1"/>
    <col min="28" max="29" width="9.7109375" style="1" customWidth="1"/>
    <col min="30" max="30" width="0.85546875" style="1" customWidth="1"/>
    <col min="31" max="32" width="9.7109375" style="1" customWidth="1"/>
    <col min="33" max="33" width="0.85546875" style="1" customWidth="1"/>
    <col min="34" max="35" width="9.7109375" style="1" customWidth="1"/>
    <col min="36" max="36" width="0.85546875" style="1" customWidth="1"/>
    <col min="37" max="38" width="9.7109375" style="1" customWidth="1"/>
    <col min="39" max="39" width="0.85546875" style="76" customWidth="1"/>
    <col min="40" max="41" width="9.7109375" style="76" customWidth="1"/>
    <col min="42" max="42" width="1" style="1" customWidth="1"/>
    <col min="43" max="44" width="9.7109375" style="1" customWidth="1"/>
    <col min="45" max="45" width="0.7109375" style="1" customWidth="1"/>
    <col min="46" max="47" width="9.7109375" style="1" customWidth="1"/>
    <col min="48" max="48" width="0.85546875" style="1" customWidth="1"/>
    <col min="49" max="49" width="51" style="38" customWidth="1"/>
    <col min="50" max="50" width="0.85546875" style="76" customWidth="1"/>
    <col min="51" max="51" width="6.42578125" style="76" customWidth="1"/>
    <col min="52" max="52" width="0.85546875" style="76" customWidth="1"/>
    <col min="53" max="54" width="9.7109375" style="76" customWidth="1"/>
    <col min="55" max="55" width="0.85546875" style="76" customWidth="1"/>
    <col min="56" max="57" width="9.7109375" style="76" customWidth="1"/>
    <col min="58" max="58" width="0.85546875" style="76" customWidth="1"/>
    <col min="59" max="60" width="9.7109375" style="76" customWidth="1"/>
    <col min="61" max="61" width="0.85546875" style="76" customWidth="1"/>
    <col min="62" max="63" width="9.7109375" style="76" customWidth="1"/>
    <col min="64" max="64" width="0.85546875" style="76" customWidth="1"/>
    <col min="65" max="66" width="9.7109375" style="76" customWidth="1"/>
    <col min="67" max="67" width="0.85546875" style="76" customWidth="1"/>
    <col min="68" max="69" width="9.7109375" style="76" customWidth="1"/>
    <col min="70" max="70" width="0.85546875" style="76" customWidth="1"/>
    <col min="71" max="72" width="9.7109375" style="76" customWidth="1"/>
    <col min="73" max="73" width="0.85546875" style="76" customWidth="1"/>
    <col min="74" max="75" width="9.7109375" style="76" customWidth="1"/>
    <col min="76" max="76" width="0.85546875" style="76" customWidth="1"/>
    <col min="77" max="78" width="9.7109375" style="76" customWidth="1"/>
    <col min="79" max="79" width="0.85546875" style="76" customWidth="1"/>
    <col min="80" max="259" width="11.42578125" style="1"/>
    <col min="260" max="267" width="10.85546875" style="1" customWidth="1"/>
    <col min="268" max="268" width="6.42578125" style="1" customWidth="1"/>
    <col min="269" max="269" width="0.85546875" style="1" customWidth="1"/>
    <col min="270" max="271" width="9.7109375" style="1" customWidth="1"/>
    <col min="272" max="272" width="0.85546875" style="1" customWidth="1"/>
    <col min="273" max="274" width="9.7109375" style="1" customWidth="1"/>
    <col min="275" max="275" width="0.85546875" style="1" customWidth="1"/>
    <col min="276" max="277" width="9.7109375" style="1" customWidth="1"/>
    <col min="278" max="278" width="0.85546875" style="1" customWidth="1"/>
    <col min="279" max="280" width="9.7109375" style="1" customWidth="1"/>
    <col min="281" max="281" width="0.85546875" style="1" customWidth="1"/>
    <col min="282" max="283" width="9.7109375" style="1" customWidth="1"/>
    <col min="284" max="284" width="0.85546875" style="1" customWidth="1"/>
    <col min="285" max="286" width="9.7109375" style="1" customWidth="1"/>
    <col min="287" max="287" width="0.85546875" style="1" customWidth="1"/>
    <col min="288" max="289" width="9.7109375" style="1" customWidth="1"/>
    <col min="290" max="290" width="0.85546875" style="1" customWidth="1"/>
    <col min="291" max="291" width="6.28515625" style="1" customWidth="1"/>
    <col min="292" max="292" width="0.85546875" style="1" customWidth="1"/>
    <col min="293" max="293" width="6.28515625" style="1" customWidth="1"/>
    <col min="294" max="294" width="0.85546875" style="1" customWidth="1"/>
    <col min="295" max="296" width="9.7109375" style="1" customWidth="1"/>
    <col min="297" max="297" width="0.85546875" style="1" customWidth="1"/>
    <col min="298" max="299" width="9.7109375" style="1" customWidth="1"/>
    <col min="300" max="300" width="0.85546875" style="1" customWidth="1"/>
    <col min="301" max="301" width="4.42578125" style="1" customWidth="1"/>
    <col min="302" max="302" width="0.85546875" style="1" customWidth="1"/>
    <col min="303" max="303" width="6.28515625" style="1" customWidth="1"/>
    <col min="304" max="304" width="0.85546875" style="1" customWidth="1"/>
    <col min="305" max="306" width="9.7109375" style="1" customWidth="1"/>
    <col min="307" max="307" width="0.85546875" style="1" customWidth="1"/>
    <col min="308" max="309" width="9.7109375" style="1" customWidth="1"/>
    <col min="310" max="310" width="0.85546875" style="1" customWidth="1"/>
    <col min="311" max="312" width="9.7109375" style="1" customWidth="1"/>
    <col min="313" max="313" width="0.85546875" style="1" customWidth="1"/>
    <col min="314" max="315" width="9.7109375" style="1" customWidth="1"/>
    <col min="316" max="316" width="0.85546875" style="1" customWidth="1"/>
    <col min="317" max="318" width="9.7109375" style="1" customWidth="1"/>
    <col min="319" max="319" width="0.7109375" style="1" customWidth="1"/>
    <col min="320" max="321" width="9.7109375" style="1" customWidth="1"/>
    <col min="322" max="322" width="0.7109375" style="1" customWidth="1"/>
    <col min="323" max="324" width="9.7109375" style="1" customWidth="1"/>
    <col min="325" max="325" width="0.85546875" style="1" customWidth="1"/>
    <col min="326" max="327" width="9.7109375" style="1" customWidth="1"/>
    <col min="328" max="328" width="0.85546875" style="1" customWidth="1"/>
    <col min="329" max="330" width="9.7109375" style="1" customWidth="1"/>
    <col min="331" max="331" width="0.85546875" style="1" customWidth="1"/>
    <col min="332" max="515" width="11.42578125" style="1"/>
    <col min="516" max="523" width="10.85546875" style="1" customWidth="1"/>
    <col min="524" max="524" width="6.42578125" style="1" customWidth="1"/>
    <col min="525" max="525" width="0.85546875" style="1" customWidth="1"/>
    <col min="526" max="527" width="9.7109375" style="1" customWidth="1"/>
    <col min="528" max="528" width="0.85546875" style="1" customWidth="1"/>
    <col min="529" max="530" width="9.7109375" style="1" customWidth="1"/>
    <col min="531" max="531" width="0.85546875" style="1" customWidth="1"/>
    <col min="532" max="533" width="9.7109375" style="1" customWidth="1"/>
    <col min="534" max="534" width="0.85546875" style="1" customWidth="1"/>
    <col min="535" max="536" width="9.7109375" style="1" customWidth="1"/>
    <col min="537" max="537" width="0.85546875" style="1" customWidth="1"/>
    <col min="538" max="539" width="9.7109375" style="1" customWidth="1"/>
    <col min="540" max="540" width="0.85546875" style="1" customWidth="1"/>
    <col min="541" max="542" width="9.7109375" style="1" customWidth="1"/>
    <col min="543" max="543" width="0.85546875" style="1" customWidth="1"/>
    <col min="544" max="545" width="9.7109375" style="1" customWidth="1"/>
    <col min="546" max="546" width="0.85546875" style="1" customWidth="1"/>
    <col min="547" max="547" width="6.28515625" style="1" customWidth="1"/>
    <col min="548" max="548" width="0.85546875" style="1" customWidth="1"/>
    <col min="549" max="549" width="6.28515625" style="1" customWidth="1"/>
    <col min="550" max="550" width="0.85546875" style="1" customWidth="1"/>
    <col min="551" max="552" width="9.7109375" style="1" customWidth="1"/>
    <col min="553" max="553" width="0.85546875" style="1" customWidth="1"/>
    <col min="554" max="555" width="9.7109375" style="1" customWidth="1"/>
    <col min="556" max="556" width="0.85546875" style="1" customWidth="1"/>
    <col min="557" max="557" width="4.42578125" style="1" customWidth="1"/>
    <col min="558" max="558" width="0.85546875" style="1" customWidth="1"/>
    <col min="559" max="559" width="6.28515625" style="1" customWidth="1"/>
    <col min="560" max="560" width="0.85546875" style="1" customWidth="1"/>
    <col min="561" max="562" width="9.7109375" style="1" customWidth="1"/>
    <col min="563" max="563" width="0.85546875" style="1" customWidth="1"/>
    <col min="564" max="565" width="9.7109375" style="1" customWidth="1"/>
    <col min="566" max="566" width="0.85546875" style="1" customWidth="1"/>
    <col min="567" max="568" width="9.7109375" style="1" customWidth="1"/>
    <col min="569" max="569" width="0.85546875" style="1" customWidth="1"/>
    <col min="570" max="571" width="9.7109375" style="1" customWidth="1"/>
    <col min="572" max="572" width="0.85546875" style="1" customWidth="1"/>
    <col min="573" max="574" width="9.7109375" style="1" customWidth="1"/>
    <col min="575" max="575" width="0.7109375" style="1" customWidth="1"/>
    <col min="576" max="577" width="9.7109375" style="1" customWidth="1"/>
    <col min="578" max="578" width="0.7109375" style="1" customWidth="1"/>
    <col min="579" max="580" width="9.7109375" style="1" customWidth="1"/>
    <col min="581" max="581" width="0.85546875" style="1" customWidth="1"/>
    <col min="582" max="583" width="9.7109375" style="1" customWidth="1"/>
    <col min="584" max="584" width="0.85546875" style="1" customWidth="1"/>
    <col min="585" max="586" width="9.7109375" style="1" customWidth="1"/>
    <col min="587" max="587" width="0.85546875" style="1" customWidth="1"/>
    <col min="588" max="771" width="11.42578125" style="1"/>
    <col min="772" max="779" width="10.85546875" style="1" customWidth="1"/>
    <col min="780" max="780" width="6.42578125" style="1" customWidth="1"/>
    <col min="781" max="781" width="0.85546875" style="1" customWidth="1"/>
    <col min="782" max="783" width="9.7109375" style="1" customWidth="1"/>
    <col min="784" max="784" width="0.85546875" style="1" customWidth="1"/>
    <col min="785" max="786" width="9.7109375" style="1" customWidth="1"/>
    <col min="787" max="787" width="0.85546875" style="1" customWidth="1"/>
    <col min="788" max="789" width="9.7109375" style="1" customWidth="1"/>
    <col min="790" max="790" width="0.85546875" style="1" customWidth="1"/>
    <col min="791" max="792" width="9.7109375" style="1" customWidth="1"/>
    <col min="793" max="793" width="0.85546875" style="1" customWidth="1"/>
    <col min="794" max="795" width="9.7109375" style="1" customWidth="1"/>
    <col min="796" max="796" width="0.85546875" style="1" customWidth="1"/>
    <col min="797" max="798" width="9.7109375" style="1" customWidth="1"/>
    <col min="799" max="799" width="0.85546875" style="1" customWidth="1"/>
    <col min="800" max="801" width="9.7109375" style="1" customWidth="1"/>
    <col min="802" max="802" width="0.85546875" style="1" customWidth="1"/>
    <col min="803" max="803" width="6.28515625" style="1" customWidth="1"/>
    <col min="804" max="804" width="0.85546875" style="1" customWidth="1"/>
    <col min="805" max="805" width="6.28515625" style="1" customWidth="1"/>
    <col min="806" max="806" width="0.85546875" style="1" customWidth="1"/>
    <col min="807" max="808" width="9.7109375" style="1" customWidth="1"/>
    <col min="809" max="809" width="0.85546875" style="1" customWidth="1"/>
    <col min="810" max="811" width="9.7109375" style="1" customWidth="1"/>
    <col min="812" max="812" width="0.85546875" style="1" customWidth="1"/>
    <col min="813" max="813" width="4.42578125" style="1" customWidth="1"/>
    <col min="814" max="814" width="0.85546875" style="1" customWidth="1"/>
    <col min="815" max="815" width="6.28515625" style="1" customWidth="1"/>
    <col min="816" max="816" width="0.85546875" style="1" customWidth="1"/>
    <col min="817" max="818" width="9.7109375" style="1" customWidth="1"/>
    <col min="819" max="819" width="0.85546875" style="1" customWidth="1"/>
    <col min="820" max="821" width="9.7109375" style="1" customWidth="1"/>
    <col min="822" max="822" width="0.85546875" style="1" customWidth="1"/>
    <col min="823" max="824" width="9.7109375" style="1" customWidth="1"/>
    <col min="825" max="825" width="0.85546875" style="1" customWidth="1"/>
    <col min="826" max="827" width="9.7109375" style="1" customWidth="1"/>
    <col min="828" max="828" width="0.85546875" style="1" customWidth="1"/>
    <col min="829" max="830" width="9.7109375" style="1" customWidth="1"/>
    <col min="831" max="831" width="0.7109375" style="1" customWidth="1"/>
    <col min="832" max="833" width="9.7109375" style="1" customWidth="1"/>
    <col min="834" max="834" width="0.7109375" style="1" customWidth="1"/>
    <col min="835" max="836" width="9.7109375" style="1" customWidth="1"/>
    <col min="837" max="837" width="0.85546875" style="1" customWidth="1"/>
    <col min="838" max="839" width="9.7109375" style="1" customWidth="1"/>
    <col min="840" max="840" width="0.85546875" style="1" customWidth="1"/>
    <col min="841" max="842" width="9.7109375" style="1" customWidth="1"/>
    <col min="843" max="843" width="0.85546875" style="1" customWidth="1"/>
    <col min="844" max="1027" width="11.42578125" style="1"/>
    <col min="1028" max="1035" width="10.85546875" style="1" customWidth="1"/>
    <col min="1036" max="1036" width="6.42578125" style="1" customWidth="1"/>
    <col min="1037" max="1037" width="0.85546875" style="1" customWidth="1"/>
    <col min="1038" max="1039" width="9.7109375" style="1" customWidth="1"/>
    <col min="1040" max="1040" width="0.85546875" style="1" customWidth="1"/>
    <col min="1041" max="1042" width="9.7109375" style="1" customWidth="1"/>
    <col min="1043" max="1043" width="0.85546875" style="1" customWidth="1"/>
    <col min="1044" max="1045" width="9.7109375" style="1" customWidth="1"/>
    <col min="1046" max="1046" width="0.85546875" style="1" customWidth="1"/>
    <col min="1047" max="1048" width="9.7109375" style="1" customWidth="1"/>
    <col min="1049" max="1049" width="0.85546875" style="1" customWidth="1"/>
    <col min="1050" max="1051" width="9.7109375" style="1" customWidth="1"/>
    <col min="1052" max="1052" width="0.85546875" style="1" customWidth="1"/>
    <col min="1053" max="1054" width="9.7109375" style="1" customWidth="1"/>
    <col min="1055" max="1055" width="0.85546875" style="1" customWidth="1"/>
    <col min="1056" max="1057" width="9.7109375" style="1" customWidth="1"/>
    <col min="1058" max="1058" width="0.85546875" style="1" customWidth="1"/>
    <col min="1059" max="1059" width="6.28515625" style="1" customWidth="1"/>
    <col min="1060" max="1060" width="0.85546875" style="1" customWidth="1"/>
    <col min="1061" max="1061" width="6.28515625" style="1" customWidth="1"/>
    <col min="1062" max="1062" width="0.85546875" style="1" customWidth="1"/>
    <col min="1063" max="1064" width="9.7109375" style="1" customWidth="1"/>
    <col min="1065" max="1065" width="0.85546875" style="1" customWidth="1"/>
    <col min="1066" max="1067" width="9.7109375" style="1" customWidth="1"/>
    <col min="1068" max="1068" width="0.85546875" style="1" customWidth="1"/>
    <col min="1069" max="1069" width="4.42578125" style="1" customWidth="1"/>
    <col min="1070" max="1070" width="0.85546875" style="1" customWidth="1"/>
    <col min="1071" max="1071" width="6.28515625" style="1" customWidth="1"/>
    <col min="1072" max="1072" width="0.85546875" style="1" customWidth="1"/>
    <col min="1073" max="1074" width="9.7109375" style="1" customWidth="1"/>
    <col min="1075" max="1075" width="0.85546875" style="1" customWidth="1"/>
    <col min="1076" max="1077" width="9.7109375" style="1" customWidth="1"/>
    <col min="1078" max="1078" width="0.85546875" style="1" customWidth="1"/>
    <col min="1079" max="1080" width="9.7109375" style="1" customWidth="1"/>
    <col min="1081" max="1081" width="0.85546875" style="1" customWidth="1"/>
    <col min="1082" max="1083" width="9.7109375" style="1" customWidth="1"/>
    <col min="1084" max="1084" width="0.85546875" style="1" customWidth="1"/>
    <col min="1085" max="1086" width="9.7109375" style="1" customWidth="1"/>
    <col min="1087" max="1087" width="0.7109375" style="1" customWidth="1"/>
    <col min="1088" max="1089" width="9.7109375" style="1" customWidth="1"/>
    <col min="1090" max="1090" width="0.7109375" style="1" customWidth="1"/>
    <col min="1091" max="1092" width="9.7109375" style="1" customWidth="1"/>
    <col min="1093" max="1093" width="0.85546875" style="1" customWidth="1"/>
    <col min="1094" max="1095" width="9.7109375" style="1" customWidth="1"/>
    <col min="1096" max="1096" width="0.85546875" style="1" customWidth="1"/>
    <col min="1097" max="1098" width="9.7109375" style="1" customWidth="1"/>
    <col min="1099" max="1099" width="0.85546875" style="1" customWidth="1"/>
    <col min="1100" max="1283" width="11.42578125" style="1"/>
    <col min="1284" max="1291" width="10.85546875" style="1" customWidth="1"/>
    <col min="1292" max="1292" width="6.42578125" style="1" customWidth="1"/>
    <col min="1293" max="1293" width="0.85546875" style="1" customWidth="1"/>
    <col min="1294" max="1295" width="9.7109375" style="1" customWidth="1"/>
    <col min="1296" max="1296" width="0.85546875" style="1" customWidth="1"/>
    <col min="1297" max="1298" width="9.7109375" style="1" customWidth="1"/>
    <col min="1299" max="1299" width="0.85546875" style="1" customWidth="1"/>
    <col min="1300" max="1301" width="9.7109375" style="1" customWidth="1"/>
    <col min="1302" max="1302" width="0.85546875" style="1" customWidth="1"/>
    <col min="1303" max="1304" width="9.7109375" style="1" customWidth="1"/>
    <col min="1305" max="1305" width="0.85546875" style="1" customWidth="1"/>
    <col min="1306" max="1307" width="9.7109375" style="1" customWidth="1"/>
    <col min="1308" max="1308" width="0.85546875" style="1" customWidth="1"/>
    <col min="1309" max="1310" width="9.7109375" style="1" customWidth="1"/>
    <col min="1311" max="1311" width="0.85546875" style="1" customWidth="1"/>
    <col min="1312" max="1313" width="9.7109375" style="1" customWidth="1"/>
    <col min="1314" max="1314" width="0.85546875" style="1" customWidth="1"/>
    <col min="1315" max="1315" width="6.28515625" style="1" customWidth="1"/>
    <col min="1316" max="1316" width="0.85546875" style="1" customWidth="1"/>
    <col min="1317" max="1317" width="6.28515625" style="1" customWidth="1"/>
    <col min="1318" max="1318" width="0.85546875" style="1" customWidth="1"/>
    <col min="1319" max="1320" width="9.7109375" style="1" customWidth="1"/>
    <col min="1321" max="1321" width="0.85546875" style="1" customWidth="1"/>
    <col min="1322" max="1323" width="9.7109375" style="1" customWidth="1"/>
    <col min="1324" max="1324" width="0.85546875" style="1" customWidth="1"/>
    <col min="1325" max="1325" width="4.42578125" style="1" customWidth="1"/>
    <col min="1326" max="1326" width="0.85546875" style="1" customWidth="1"/>
    <col min="1327" max="1327" width="6.28515625" style="1" customWidth="1"/>
    <col min="1328" max="1328" width="0.85546875" style="1" customWidth="1"/>
    <col min="1329" max="1330" width="9.7109375" style="1" customWidth="1"/>
    <col min="1331" max="1331" width="0.85546875" style="1" customWidth="1"/>
    <col min="1332" max="1333" width="9.7109375" style="1" customWidth="1"/>
    <col min="1334" max="1334" width="0.85546875" style="1" customWidth="1"/>
    <col min="1335" max="1336" width="9.7109375" style="1" customWidth="1"/>
    <col min="1337" max="1337" width="0.85546875" style="1" customWidth="1"/>
    <col min="1338" max="1339" width="9.7109375" style="1" customWidth="1"/>
    <col min="1340" max="1340" width="0.85546875" style="1" customWidth="1"/>
    <col min="1341" max="1342" width="9.7109375" style="1" customWidth="1"/>
    <col min="1343" max="1343" width="0.7109375" style="1" customWidth="1"/>
    <col min="1344" max="1345" width="9.7109375" style="1" customWidth="1"/>
    <col min="1346" max="1346" width="0.7109375" style="1" customWidth="1"/>
    <col min="1347" max="1348" width="9.7109375" style="1" customWidth="1"/>
    <col min="1349" max="1349" width="0.85546875" style="1" customWidth="1"/>
    <col min="1350" max="1351" width="9.7109375" style="1" customWidth="1"/>
    <col min="1352" max="1352" width="0.85546875" style="1" customWidth="1"/>
    <col min="1353" max="1354" width="9.7109375" style="1" customWidth="1"/>
    <col min="1355" max="1355" width="0.85546875" style="1" customWidth="1"/>
    <col min="1356" max="1539" width="11.42578125" style="1"/>
    <col min="1540" max="1547" width="10.85546875" style="1" customWidth="1"/>
    <col min="1548" max="1548" width="6.42578125" style="1" customWidth="1"/>
    <col min="1549" max="1549" width="0.85546875" style="1" customWidth="1"/>
    <col min="1550" max="1551" width="9.7109375" style="1" customWidth="1"/>
    <col min="1552" max="1552" width="0.85546875" style="1" customWidth="1"/>
    <col min="1553" max="1554" width="9.7109375" style="1" customWidth="1"/>
    <col min="1555" max="1555" width="0.85546875" style="1" customWidth="1"/>
    <col min="1556" max="1557" width="9.7109375" style="1" customWidth="1"/>
    <col min="1558" max="1558" width="0.85546875" style="1" customWidth="1"/>
    <col min="1559" max="1560" width="9.7109375" style="1" customWidth="1"/>
    <col min="1561" max="1561" width="0.85546875" style="1" customWidth="1"/>
    <col min="1562" max="1563" width="9.7109375" style="1" customWidth="1"/>
    <col min="1564" max="1564" width="0.85546875" style="1" customWidth="1"/>
    <col min="1565" max="1566" width="9.7109375" style="1" customWidth="1"/>
    <col min="1567" max="1567" width="0.85546875" style="1" customWidth="1"/>
    <col min="1568" max="1569" width="9.7109375" style="1" customWidth="1"/>
    <col min="1570" max="1570" width="0.85546875" style="1" customWidth="1"/>
    <col min="1571" max="1571" width="6.28515625" style="1" customWidth="1"/>
    <col min="1572" max="1572" width="0.85546875" style="1" customWidth="1"/>
    <col min="1573" max="1573" width="6.28515625" style="1" customWidth="1"/>
    <col min="1574" max="1574" width="0.85546875" style="1" customWidth="1"/>
    <col min="1575" max="1576" width="9.7109375" style="1" customWidth="1"/>
    <col min="1577" max="1577" width="0.85546875" style="1" customWidth="1"/>
    <col min="1578" max="1579" width="9.7109375" style="1" customWidth="1"/>
    <col min="1580" max="1580" width="0.85546875" style="1" customWidth="1"/>
    <col min="1581" max="1581" width="4.42578125" style="1" customWidth="1"/>
    <col min="1582" max="1582" width="0.85546875" style="1" customWidth="1"/>
    <col min="1583" max="1583" width="6.28515625" style="1" customWidth="1"/>
    <col min="1584" max="1584" width="0.85546875" style="1" customWidth="1"/>
    <col min="1585" max="1586" width="9.7109375" style="1" customWidth="1"/>
    <col min="1587" max="1587" width="0.85546875" style="1" customWidth="1"/>
    <col min="1588" max="1589" width="9.7109375" style="1" customWidth="1"/>
    <col min="1590" max="1590" width="0.85546875" style="1" customWidth="1"/>
    <col min="1591" max="1592" width="9.7109375" style="1" customWidth="1"/>
    <col min="1593" max="1593" width="0.85546875" style="1" customWidth="1"/>
    <col min="1594" max="1595" width="9.7109375" style="1" customWidth="1"/>
    <col min="1596" max="1596" width="0.85546875" style="1" customWidth="1"/>
    <col min="1597" max="1598" width="9.7109375" style="1" customWidth="1"/>
    <col min="1599" max="1599" width="0.7109375" style="1" customWidth="1"/>
    <col min="1600" max="1601" width="9.7109375" style="1" customWidth="1"/>
    <col min="1602" max="1602" width="0.7109375" style="1" customWidth="1"/>
    <col min="1603" max="1604" width="9.7109375" style="1" customWidth="1"/>
    <col min="1605" max="1605" width="0.85546875" style="1" customWidth="1"/>
    <col min="1606" max="1607" width="9.7109375" style="1" customWidth="1"/>
    <col min="1608" max="1608" width="0.85546875" style="1" customWidth="1"/>
    <col min="1609" max="1610" width="9.7109375" style="1" customWidth="1"/>
    <col min="1611" max="1611" width="0.85546875" style="1" customWidth="1"/>
    <col min="1612" max="1795" width="11.42578125" style="1"/>
    <col min="1796" max="1803" width="10.85546875" style="1" customWidth="1"/>
    <col min="1804" max="1804" width="6.42578125" style="1" customWidth="1"/>
    <col min="1805" max="1805" width="0.85546875" style="1" customWidth="1"/>
    <col min="1806" max="1807" width="9.7109375" style="1" customWidth="1"/>
    <col min="1808" max="1808" width="0.85546875" style="1" customWidth="1"/>
    <col min="1809" max="1810" width="9.7109375" style="1" customWidth="1"/>
    <col min="1811" max="1811" width="0.85546875" style="1" customWidth="1"/>
    <col min="1812" max="1813" width="9.7109375" style="1" customWidth="1"/>
    <col min="1814" max="1814" width="0.85546875" style="1" customWidth="1"/>
    <col min="1815" max="1816" width="9.7109375" style="1" customWidth="1"/>
    <col min="1817" max="1817" width="0.85546875" style="1" customWidth="1"/>
    <col min="1818" max="1819" width="9.7109375" style="1" customWidth="1"/>
    <col min="1820" max="1820" width="0.85546875" style="1" customWidth="1"/>
    <col min="1821" max="1822" width="9.7109375" style="1" customWidth="1"/>
    <col min="1823" max="1823" width="0.85546875" style="1" customWidth="1"/>
    <col min="1824" max="1825" width="9.7109375" style="1" customWidth="1"/>
    <col min="1826" max="1826" width="0.85546875" style="1" customWidth="1"/>
    <col min="1827" max="1827" width="6.28515625" style="1" customWidth="1"/>
    <col min="1828" max="1828" width="0.85546875" style="1" customWidth="1"/>
    <col min="1829" max="1829" width="6.28515625" style="1" customWidth="1"/>
    <col min="1830" max="1830" width="0.85546875" style="1" customWidth="1"/>
    <col min="1831" max="1832" width="9.7109375" style="1" customWidth="1"/>
    <col min="1833" max="1833" width="0.85546875" style="1" customWidth="1"/>
    <col min="1834" max="1835" width="9.7109375" style="1" customWidth="1"/>
    <col min="1836" max="1836" width="0.85546875" style="1" customWidth="1"/>
    <col min="1837" max="1837" width="4.42578125" style="1" customWidth="1"/>
    <col min="1838" max="1838" width="0.85546875" style="1" customWidth="1"/>
    <col min="1839" max="1839" width="6.28515625" style="1" customWidth="1"/>
    <col min="1840" max="1840" width="0.85546875" style="1" customWidth="1"/>
    <col min="1841" max="1842" width="9.7109375" style="1" customWidth="1"/>
    <col min="1843" max="1843" width="0.85546875" style="1" customWidth="1"/>
    <col min="1844" max="1845" width="9.7109375" style="1" customWidth="1"/>
    <col min="1846" max="1846" width="0.85546875" style="1" customWidth="1"/>
    <col min="1847" max="1848" width="9.7109375" style="1" customWidth="1"/>
    <col min="1849" max="1849" width="0.85546875" style="1" customWidth="1"/>
    <col min="1850" max="1851" width="9.7109375" style="1" customWidth="1"/>
    <col min="1852" max="1852" width="0.85546875" style="1" customWidth="1"/>
    <col min="1853" max="1854" width="9.7109375" style="1" customWidth="1"/>
    <col min="1855" max="1855" width="0.7109375" style="1" customWidth="1"/>
    <col min="1856" max="1857" width="9.7109375" style="1" customWidth="1"/>
    <col min="1858" max="1858" width="0.7109375" style="1" customWidth="1"/>
    <col min="1859" max="1860" width="9.7109375" style="1" customWidth="1"/>
    <col min="1861" max="1861" width="0.85546875" style="1" customWidth="1"/>
    <col min="1862" max="1863" width="9.7109375" style="1" customWidth="1"/>
    <col min="1864" max="1864" width="0.85546875" style="1" customWidth="1"/>
    <col min="1865" max="1866" width="9.7109375" style="1" customWidth="1"/>
    <col min="1867" max="1867" width="0.85546875" style="1" customWidth="1"/>
    <col min="1868" max="2051" width="11.42578125" style="1"/>
    <col min="2052" max="2059" width="10.85546875" style="1" customWidth="1"/>
    <col min="2060" max="2060" width="6.42578125" style="1" customWidth="1"/>
    <col min="2061" max="2061" width="0.85546875" style="1" customWidth="1"/>
    <col min="2062" max="2063" width="9.7109375" style="1" customWidth="1"/>
    <col min="2064" max="2064" width="0.85546875" style="1" customWidth="1"/>
    <col min="2065" max="2066" width="9.7109375" style="1" customWidth="1"/>
    <col min="2067" max="2067" width="0.85546875" style="1" customWidth="1"/>
    <col min="2068" max="2069" width="9.7109375" style="1" customWidth="1"/>
    <col min="2070" max="2070" width="0.85546875" style="1" customWidth="1"/>
    <col min="2071" max="2072" width="9.7109375" style="1" customWidth="1"/>
    <col min="2073" max="2073" width="0.85546875" style="1" customWidth="1"/>
    <col min="2074" max="2075" width="9.7109375" style="1" customWidth="1"/>
    <col min="2076" max="2076" width="0.85546875" style="1" customWidth="1"/>
    <col min="2077" max="2078" width="9.7109375" style="1" customWidth="1"/>
    <col min="2079" max="2079" width="0.85546875" style="1" customWidth="1"/>
    <col min="2080" max="2081" width="9.7109375" style="1" customWidth="1"/>
    <col min="2082" max="2082" width="0.85546875" style="1" customWidth="1"/>
    <col min="2083" max="2083" width="6.28515625" style="1" customWidth="1"/>
    <col min="2084" max="2084" width="0.85546875" style="1" customWidth="1"/>
    <col min="2085" max="2085" width="6.28515625" style="1" customWidth="1"/>
    <col min="2086" max="2086" width="0.85546875" style="1" customWidth="1"/>
    <col min="2087" max="2088" width="9.7109375" style="1" customWidth="1"/>
    <col min="2089" max="2089" width="0.85546875" style="1" customWidth="1"/>
    <col min="2090" max="2091" width="9.7109375" style="1" customWidth="1"/>
    <col min="2092" max="2092" width="0.85546875" style="1" customWidth="1"/>
    <col min="2093" max="2093" width="4.42578125" style="1" customWidth="1"/>
    <col min="2094" max="2094" width="0.85546875" style="1" customWidth="1"/>
    <col min="2095" max="2095" width="6.28515625" style="1" customWidth="1"/>
    <col min="2096" max="2096" width="0.85546875" style="1" customWidth="1"/>
    <col min="2097" max="2098" width="9.7109375" style="1" customWidth="1"/>
    <col min="2099" max="2099" width="0.85546875" style="1" customWidth="1"/>
    <col min="2100" max="2101" width="9.7109375" style="1" customWidth="1"/>
    <col min="2102" max="2102" width="0.85546875" style="1" customWidth="1"/>
    <col min="2103" max="2104" width="9.7109375" style="1" customWidth="1"/>
    <col min="2105" max="2105" width="0.85546875" style="1" customWidth="1"/>
    <col min="2106" max="2107" width="9.7109375" style="1" customWidth="1"/>
    <col min="2108" max="2108" width="0.85546875" style="1" customWidth="1"/>
    <col min="2109" max="2110" width="9.7109375" style="1" customWidth="1"/>
    <col min="2111" max="2111" width="0.7109375" style="1" customWidth="1"/>
    <col min="2112" max="2113" width="9.7109375" style="1" customWidth="1"/>
    <col min="2114" max="2114" width="0.7109375" style="1" customWidth="1"/>
    <col min="2115" max="2116" width="9.7109375" style="1" customWidth="1"/>
    <col min="2117" max="2117" width="0.85546875" style="1" customWidth="1"/>
    <col min="2118" max="2119" width="9.7109375" style="1" customWidth="1"/>
    <col min="2120" max="2120" width="0.85546875" style="1" customWidth="1"/>
    <col min="2121" max="2122" width="9.7109375" style="1" customWidth="1"/>
    <col min="2123" max="2123" width="0.85546875" style="1" customWidth="1"/>
    <col min="2124" max="2307" width="11.42578125" style="1"/>
    <col min="2308" max="2315" width="10.85546875" style="1" customWidth="1"/>
    <col min="2316" max="2316" width="6.42578125" style="1" customWidth="1"/>
    <col min="2317" max="2317" width="0.85546875" style="1" customWidth="1"/>
    <col min="2318" max="2319" width="9.7109375" style="1" customWidth="1"/>
    <col min="2320" max="2320" width="0.85546875" style="1" customWidth="1"/>
    <col min="2321" max="2322" width="9.7109375" style="1" customWidth="1"/>
    <col min="2323" max="2323" width="0.85546875" style="1" customWidth="1"/>
    <col min="2324" max="2325" width="9.7109375" style="1" customWidth="1"/>
    <col min="2326" max="2326" width="0.85546875" style="1" customWidth="1"/>
    <col min="2327" max="2328" width="9.7109375" style="1" customWidth="1"/>
    <col min="2329" max="2329" width="0.85546875" style="1" customWidth="1"/>
    <col min="2330" max="2331" width="9.7109375" style="1" customWidth="1"/>
    <col min="2332" max="2332" width="0.85546875" style="1" customWidth="1"/>
    <col min="2333" max="2334" width="9.7109375" style="1" customWidth="1"/>
    <col min="2335" max="2335" width="0.85546875" style="1" customWidth="1"/>
    <col min="2336" max="2337" width="9.7109375" style="1" customWidth="1"/>
    <col min="2338" max="2338" width="0.85546875" style="1" customWidth="1"/>
    <col min="2339" max="2339" width="6.28515625" style="1" customWidth="1"/>
    <col min="2340" max="2340" width="0.85546875" style="1" customWidth="1"/>
    <col min="2341" max="2341" width="6.28515625" style="1" customWidth="1"/>
    <col min="2342" max="2342" width="0.85546875" style="1" customWidth="1"/>
    <col min="2343" max="2344" width="9.7109375" style="1" customWidth="1"/>
    <col min="2345" max="2345" width="0.85546875" style="1" customWidth="1"/>
    <col min="2346" max="2347" width="9.7109375" style="1" customWidth="1"/>
    <col min="2348" max="2348" width="0.85546875" style="1" customWidth="1"/>
    <col min="2349" max="2349" width="4.42578125" style="1" customWidth="1"/>
    <col min="2350" max="2350" width="0.85546875" style="1" customWidth="1"/>
    <col min="2351" max="2351" width="6.28515625" style="1" customWidth="1"/>
    <col min="2352" max="2352" width="0.85546875" style="1" customWidth="1"/>
    <col min="2353" max="2354" width="9.7109375" style="1" customWidth="1"/>
    <col min="2355" max="2355" width="0.85546875" style="1" customWidth="1"/>
    <col min="2356" max="2357" width="9.7109375" style="1" customWidth="1"/>
    <col min="2358" max="2358" width="0.85546875" style="1" customWidth="1"/>
    <col min="2359" max="2360" width="9.7109375" style="1" customWidth="1"/>
    <col min="2361" max="2361" width="0.85546875" style="1" customWidth="1"/>
    <col min="2362" max="2363" width="9.7109375" style="1" customWidth="1"/>
    <col min="2364" max="2364" width="0.85546875" style="1" customWidth="1"/>
    <col min="2365" max="2366" width="9.7109375" style="1" customWidth="1"/>
    <col min="2367" max="2367" width="0.7109375" style="1" customWidth="1"/>
    <col min="2368" max="2369" width="9.7109375" style="1" customWidth="1"/>
    <col min="2370" max="2370" width="0.7109375" style="1" customWidth="1"/>
    <col min="2371" max="2372" width="9.7109375" style="1" customWidth="1"/>
    <col min="2373" max="2373" width="0.85546875" style="1" customWidth="1"/>
    <col min="2374" max="2375" width="9.7109375" style="1" customWidth="1"/>
    <col min="2376" max="2376" width="0.85546875" style="1" customWidth="1"/>
    <col min="2377" max="2378" width="9.7109375" style="1" customWidth="1"/>
    <col min="2379" max="2379" width="0.85546875" style="1" customWidth="1"/>
    <col min="2380" max="2563" width="11.42578125" style="1"/>
    <col min="2564" max="2571" width="10.85546875" style="1" customWidth="1"/>
    <col min="2572" max="2572" width="6.42578125" style="1" customWidth="1"/>
    <col min="2573" max="2573" width="0.85546875" style="1" customWidth="1"/>
    <col min="2574" max="2575" width="9.7109375" style="1" customWidth="1"/>
    <col min="2576" max="2576" width="0.85546875" style="1" customWidth="1"/>
    <col min="2577" max="2578" width="9.7109375" style="1" customWidth="1"/>
    <col min="2579" max="2579" width="0.85546875" style="1" customWidth="1"/>
    <col min="2580" max="2581" width="9.7109375" style="1" customWidth="1"/>
    <col min="2582" max="2582" width="0.85546875" style="1" customWidth="1"/>
    <col min="2583" max="2584" width="9.7109375" style="1" customWidth="1"/>
    <col min="2585" max="2585" width="0.85546875" style="1" customWidth="1"/>
    <col min="2586" max="2587" width="9.7109375" style="1" customWidth="1"/>
    <col min="2588" max="2588" width="0.85546875" style="1" customWidth="1"/>
    <col min="2589" max="2590" width="9.7109375" style="1" customWidth="1"/>
    <col min="2591" max="2591" width="0.85546875" style="1" customWidth="1"/>
    <col min="2592" max="2593" width="9.7109375" style="1" customWidth="1"/>
    <col min="2594" max="2594" width="0.85546875" style="1" customWidth="1"/>
    <col min="2595" max="2595" width="6.28515625" style="1" customWidth="1"/>
    <col min="2596" max="2596" width="0.85546875" style="1" customWidth="1"/>
    <col min="2597" max="2597" width="6.28515625" style="1" customWidth="1"/>
    <col min="2598" max="2598" width="0.85546875" style="1" customWidth="1"/>
    <col min="2599" max="2600" width="9.7109375" style="1" customWidth="1"/>
    <col min="2601" max="2601" width="0.85546875" style="1" customWidth="1"/>
    <col min="2602" max="2603" width="9.7109375" style="1" customWidth="1"/>
    <col min="2604" max="2604" width="0.85546875" style="1" customWidth="1"/>
    <col min="2605" max="2605" width="4.42578125" style="1" customWidth="1"/>
    <col min="2606" max="2606" width="0.85546875" style="1" customWidth="1"/>
    <col min="2607" max="2607" width="6.28515625" style="1" customWidth="1"/>
    <col min="2608" max="2608" width="0.85546875" style="1" customWidth="1"/>
    <col min="2609" max="2610" width="9.7109375" style="1" customWidth="1"/>
    <col min="2611" max="2611" width="0.85546875" style="1" customWidth="1"/>
    <col min="2612" max="2613" width="9.7109375" style="1" customWidth="1"/>
    <col min="2614" max="2614" width="0.85546875" style="1" customWidth="1"/>
    <col min="2615" max="2616" width="9.7109375" style="1" customWidth="1"/>
    <col min="2617" max="2617" width="0.85546875" style="1" customWidth="1"/>
    <col min="2618" max="2619" width="9.7109375" style="1" customWidth="1"/>
    <col min="2620" max="2620" width="0.85546875" style="1" customWidth="1"/>
    <col min="2621" max="2622" width="9.7109375" style="1" customWidth="1"/>
    <col min="2623" max="2623" width="0.7109375" style="1" customWidth="1"/>
    <col min="2624" max="2625" width="9.7109375" style="1" customWidth="1"/>
    <col min="2626" max="2626" width="0.7109375" style="1" customWidth="1"/>
    <col min="2627" max="2628" width="9.7109375" style="1" customWidth="1"/>
    <col min="2629" max="2629" width="0.85546875" style="1" customWidth="1"/>
    <col min="2630" max="2631" width="9.7109375" style="1" customWidth="1"/>
    <col min="2632" max="2632" width="0.85546875" style="1" customWidth="1"/>
    <col min="2633" max="2634" width="9.7109375" style="1" customWidth="1"/>
    <col min="2635" max="2635" width="0.85546875" style="1" customWidth="1"/>
    <col min="2636" max="2819" width="11.42578125" style="1"/>
    <col min="2820" max="2827" width="10.85546875" style="1" customWidth="1"/>
    <col min="2828" max="2828" width="6.42578125" style="1" customWidth="1"/>
    <col min="2829" max="2829" width="0.85546875" style="1" customWidth="1"/>
    <col min="2830" max="2831" width="9.7109375" style="1" customWidth="1"/>
    <col min="2832" max="2832" width="0.85546875" style="1" customWidth="1"/>
    <col min="2833" max="2834" width="9.7109375" style="1" customWidth="1"/>
    <col min="2835" max="2835" width="0.85546875" style="1" customWidth="1"/>
    <col min="2836" max="2837" width="9.7109375" style="1" customWidth="1"/>
    <col min="2838" max="2838" width="0.85546875" style="1" customWidth="1"/>
    <col min="2839" max="2840" width="9.7109375" style="1" customWidth="1"/>
    <col min="2841" max="2841" width="0.85546875" style="1" customWidth="1"/>
    <col min="2842" max="2843" width="9.7109375" style="1" customWidth="1"/>
    <col min="2844" max="2844" width="0.85546875" style="1" customWidth="1"/>
    <col min="2845" max="2846" width="9.7109375" style="1" customWidth="1"/>
    <col min="2847" max="2847" width="0.85546875" style="1" customWidth="1"/>
    <col min="2848" max="2849" width="9.7109375" style="1" customWidth="1"/>
    <col min="2850" max="2850" width="0.85546875" style="1" customWidth="1"/>
    <col min="2851" max="2851" width="6.28515625" style="1" customWidth="1"/>
    <col min="2852" max="2852" width="0.85546875" style="1" customWidth="1"/>
    <col min="2853" max="2853" width="6.28515625" style="1" customWidth="1"/>
    <col min="2854" max="2854" width="0.85546875" style="1" customWidth="1"/>
    <col min="2855" max="2856" width="9.7109375" style="1" customWidth="1"/>
    <col min="2857" max="2857" width="0.85546875" style="1" customWidth="1"/>
    <col min="2858" max="2859" width="9.7109375" style="1" customWidth="1"/>
    <col min="2860" max="2860" width="0.85546875" style="1" customWidth="1"/>
    <col min="2861" max="2861" width="4.42578125" style="1" customWidth="1"/>
    <col min="2862" max="2862" width="0.85546875" style="1" customWidth="1"/>
    <col min="2863" max="2863" width="6.28515625" style="1" customWidth="1"/>
    <col min="2864" max="2864" width="0.85546875" style="1" customWidth="1"/>
    <col min="2865" max="2866" width="9.7109375" style="1" customWidth="1"/>
    <col min="2867" max="2867" width="0.85546875" style="1" customWidth="1"/>
    <col min="2868" max="2869" width="9.7109375" style="1" customWidth="1"/>
    <col min="2870" max="2870" width="0.85546875" style="1" customWidth="1"/>
    <col min="2871" max="2872" width="9.7109375" style="1" customWidth="1"/>
    <col min="2873" max="2873" width="0.85546875" style="1" customWidth="1"/>
    <col min="2874" max="2875" width="9.7109375" style="1" customWidth="1"/>
    <col min="2876" max="2876" width="0.85546875" style="1" customWidth="1"/>
    <col min="2877" max="2878" width="9.7109375" style="1" customWidth="1"/>
    <col min="2879" max="2879" width="0.7109375" style="1" customWidth="1"/>
    <col min="2880" max="2881" width="9.7109375" style="1" customWidth="1"/>
    <col min="2882" max="2882" width="0.7109375" style="1" customWidth="1"/>
    <col min="2883" max="2884" width="9.7109375" style="1" customWidth="1"/>
    <col min="2885" max="2885" width="0.85546875" style="1" customWidth="1"/>
    <col min="2886" max="2887" width="9.7109375" style="1" customWidth="1"/>
    <col min="2888" max="2888" width="0.85546875" style="1" customWidth="1"/>
    <col min="2889" max="2890" width="9.7109375" style="1" customWidth="1"/>
    <col min="2891" max="2891" width="0.85546875" style="1" customWidth="1"/>
    <col min="2892" max="3075" width="11.42578125" style="1"/>
    <col min="3076" max="3083" width="10.85546875" style="1" customWidth="1"/>
    <col min="3084" max="3084" width="6.42578125" style="1" customWidth="1"/>
    <col min="3085" max="3085" width="0.85546875" style="1" customWidth="1"/>
    <col min="3086" max="3087" width="9.7109375" style="1" customWidth="1"/>
    <col min="3088" max="3088" width="0.85546875" style="1" customWidth="1"/>
    <col min="3089" max="3090" width="9.7109375" style="1" customWidth="1"/>
    <col min="3091" max="3091" width="0.85546875" style="1" customWidth="1"/>
    <col min="3092" max="3093" width="9.7109375" style="1" customWidth="1"/>
    <col min="3094" max="3094" width="0.85546875" style="1" customWidth="1"/>
    <col min="3095" max="3096" width="9.7109375" style="1" customWidth="1"/>
    <col min="3097" max="3097" width="0.85546875" style="1" customWidth="1"/>
    <col min="3098" max="3099" width="9.7109375" style="1" customWidth="1"/>
    <col min="3100" max="3100" width="0.85546875" style="1" customWidth="1"/>
    <col min="3101" max="3102" width="9.7109375" style="1" customWidth="1"/>
    <col min="3103" max="3103" width="0.85546875" style="1" customWidth="1"/>
    <col min="3104" max="3105" width="9.7109375" style="1" customWidth="1"/>
    <col min="3106" max="3106" width="0.85546875" style="1" customWidth="1"/>
    <col min="3107" max="3107" width="6.28515625" style="1" customWidth="1"/>
    <col min="3108" max="3108" width="0.85546875" style="1" customWidth="1"/>
    <col min="3109" max="3109" width="6.28515625" style="1" customWidth="1"/>
    <col min="3110" max="3110" width="0.85546875" style="1" customWidth="1"/>
    <col min="3111" max="3112" width="9.7109375" style="1" customWidth="1"/>
    <col min="3113" max="3113" width="0.85546875" style="1" customWidth="1"/>
    <col min="3114" max="3115" width="9.7109375" style="1" customWidth="1"/>
    <col min="3116" max="3116" width="0.85546875" style="1" customWidth="1"/>
    <col min="3117" max="3117" width="4.42578125" style="1" customWidth="1"/>
    <col min="3118" max="3118" width="0.85546875" style="1" customWidth="1"/>
    <col min="3119" max="3119" width="6.28515625" style="1" customWidth="1"/>
    <col min="3120" max="3120" width="0.85546875" style="1" customWidth="1"/>
    <col min="3121" max="3122" width="9.7109375" style="1" customWidth="1"/>
    <col min="3123" max="3123" width="0.85546875" style="1" customWidth="1"/>
    <col min="3124" max="3125" width="9.7109375" style="1" customWidth="1"/>
    <col min="3126" max="3126" width="0.85546875" style="1" customWidth="1"/>
    <col min="3127" max="3128" width="9.7109375" style="1" customWidth="1"/>
    <col min="3129" max="3129" width="0.85546875" style="1" customWidth="1"/>
    <col min="3130" max="3131" width="9.7109375" style="1" customWidth="1"/>
    <col min="3132" max="3132" width="0.85546875" style="1" customWidth="1"/>
    <col min="3133" max="3134" width="9.7109375" style="1" customWidth="1"/>
    <col min="3135" max="3135" width="0.7109375" style="1" customWidth="1"/>
    <col min="3136" max="3137" width="9.7109375" style="1" customWidth="1"/>
    <col min="3138" max="3138" width="0.7109375" style="1" customWidth="1"/>
    <col min="3139" max="3140" width="9.7109375" style="1" customWidth="1"/>
    <col min="3141" max="3141" width="0.85546875" style="1" customWidth="1"/>
    <col min="3142" max="3143" width="9.7109375" style="1" customWidth="1"/>
    <col min="3144" max="3144" width="0.85546875" style="1" customWidth="1"/>
    <col min="3145" max="3146" width="9.7109375" style="1" customWidth="1"/>
    <col min="3147" max="3147" width="0.85546875" style="1" customWidth="1"/>
    <col min="3148" max="3331" width="11.42578125" style="1"/>
    <col min="3332" max="3339" width="10.85546875" style="1" customWidth="1"/>
    <col min="3340" max="3340" width="6.42578125" style="1" customWidth="1"/>
    <col min="3341" max="3341" width="0.85546875" style="1" customWidth="1"/>
    <col min="3342" max="3343" width="9.7109375" style="1" customWidth="1"/>
    <col min="3344" max="3344" width="0.85546875" style="1" customWidth="1"/>
    <col min="3345" max="3346" width="9.7109375" style="1" customWidth="1"/>
    <col min="3347" max="3347" width="0.85546875" style="1" customWidth="1"/>
    <col min="3348" max="3349" width="9.7109375" style="1" customWidth="1"/>
    <col min="3350" max="3350" width="0.85546875" style="1" customWidth="1"/>
    <col min="3351" max="3352" width="9.7109375" style="1" customWidth="1"/>
    <col min="3353" max="3353" width="0.85546875" style="1" customWidth="1"/>
    <col min="3354" max="3355" width="9.7109375" style="1" customWidth="1"/>
    <col min="3356" max="3356" width="0.85546875" style="1" customWidth="1"/>
    <col min="3357" max="3358" width="9.7109375" style="1" customWidth="1"/>
    <col min="3359" max="3359" width="0.85546875" style="1" customWidth="1"/>
    <col min="3360" max="3361" width="9.7109375" style="1" customWidth="1"/>
    <col min="3362" max="3362" width="0.85546875" style="1" customWidth="1"/>
    <col min="3363" max="3363" width="6.28515625" style="1" customWidth="1"/>
    <col min="3364" max="3364" width="0.85546875" style="1" customWidth="1"/>
    <col min="3365" max="3365" width="6.28515625" style="1" customWidth="1"/>
    <col min="3366" max="3366" width="0.85546875" style="1" customWidth="1"/>
    <col min="3367" max="3368" width="9.7109375" style="1" customWidth="1"/>
    <col min="3369" max="3369" width="0.85546875" style="1" customWidth="1"/>
    <col min="3370" max="3371" width="9.7109375" style="1" customWidth="1"/>
    <col min="3372" max="3372" width="0.85546875" style="1" customWidth="1"/>
    <col min="3373" max="3373" width="4.42578125" style="1" customWidth="1"/>
    <col min="3374" max="3374" width="0.85546875" style="1" customWidth="1"/>
    <col min="3375" max="3375" width="6.28515625" style="1" customWidth="1"/>
    <col min="3376" max="3376" width="0.85546875" style="1" customWidth="1"/>
    <col min="3377" max="3378" width="9.7109375" style="1" customWidth="1"/>
    <col min="3379" max="3379" width="0.85546875" style="1" customWidth="1"/>
    <col min="3380" max="3381" width="9.7109375" style="1" customWidth="1"/>
    <col min="3382" max="3382" width="0.85546875" style="1" customWidth="1"/>
    <col min="3383" max="3384" width="9.7109375" style="1" customWidth="1"/>
    <col min="3385" max="3385" width="0.85546875" style="1" customWidth="1"/>
    <col min="3386" max="3387" width="9.7109375" style="1" customWidth="1"/>
    <col min="3388" max="3388" width="0.85546875" style="1" customWidth="1"/>
    <col min="3389" max="3390" width="9.7109375" style="1" customWidth="1"/>
    <col min="3391" max="3391" width="0.7109375" style="1" customWidth="1"/>
    <col min="3392" max="3393" width="9.7109375" style="1" customWidth="1"/>
    <col min="3394" max="3394" width="0.7109375" style="1" customWidth="1"/>
    <col min="3395" max="3396" width="9.7109375" style="1" customWidth="1"/>
    <col min="3397" max="3397" width="0.85546875" style="1" customWidth="1"/>
    <col min="3398" max="3399" width="9.7109375" style="1" customWidth="1"/>
    <col min="3400" max="3400" width="0.85546875" style="1" customWidth="1"/>
    <col min="3401" max="3402" width="9.7109375" style="1" customWidth="1"/>
    <col min="3403" max="3403" width="0.85546875" style="1" customWidth="1"/>
    <col min="3404" max="3587" width="11.42578125" style="1"/>
    <col min="3588" max="3595" width="10.85546875" style="1" customWidth="1"/>
    <col min="3596" max="3596" width="6.42578125" style="1" customWidth="1"/>
    <col min="3597" max="3597" width="0.85546875" style="1" customWidth="1"/>
    <col min="3598" max="3599" width="9.7109375" style="1" customWidth="1"/>
    <col min="3600" max="3600" width="0.85546875" style="1" customWidth="1"/>
    <col min="3601" max="3602" width="9.7109375" style="1" customWidth="1"/>
    <col min="3603" max="3603" width="0.85546875" style="1" customWidth="1"/>
    <col min="3604" max="3605" width="9.7109375" style="1" customWidth="1"/>
    <col min="3606" max="3606" width="0.85546875" style="1" customWidth="1"/>
    <col min="3607" max="3608" width="9.7109375" style="1" customWidth="1"/>
    <col min="3609" max="3609" width="0.85546875" style="1" customWidth="1"/>
    <col min="3610" max="3611" width="9.7109375" style="1" customWidth="1"/>
    <col min="3612" max="3612" width="0.85546875" style="1" customWidth="1"/>
    <col min="3613" max="3614" width="9.7109375" style="1" customWidth="1"/>
    <col min="3615" max="3615" width="0.85546875" style="1" customWidth="1"/>
    <col min="3616" max="3617" width="9.7109375" style="1" customWidth="1"/>
    <col min="3618" max="3618" width="0.85546875" style="1" customWidth="1"/>
    <col min="3619" max="3619" width="6.28515625" style="1" customWidth="1"/>
    <col min="3620" max="3620" width="0.85546875" style="1" customWidth="1"/>
    <col min="3621" max="3621" width="6.28515625" style="1" customWidth="1"/>
    <col min="3622" max="3622" width="0.85546875" style="1" customWidth="1"/>
    <col min="3623" max="3624" width="9.7109375" style="1" customWidth="1"/>
    <col min="3625" max="3625" width="0.85546875" style="1" customWidth="1"/>
    <col min="3626" max="3627" width="9.7109375" style="1" customWidth="1"/>
    <col min="3628" max="3628" width="0.85546875" style="1" customWidth="1"/>
    <col min="3629" max="3629" width="4.42578125" style="1" customWidth="1"/>
    <col min="3630" max="3630" width="0.85546875" style="1" customWidth="1"/>
    <col min="3631" max="3631" width="6.28515625" style="1" customWidth="1"/>
    <col min="3632" max="3632" width="0.85546875" style="1" customWidth="1"/>
    <col min="3633" max="3634" width="9.7109375" style="1" customWidth="1"/>
    <col min="3635" max="3635" width="0.85546875" style="1" customWidth="1"/>
    <col min="3636" max="3637" width="9.7109375" style="1" customWidth="1"/>
    <col min="3638" max="3638" width="0.85546875" style="1" customWidth="1"/>
    <col min="3639" max="3640" width="9.7109375" style="1" customWidth="1"/>
    <col min="3641" max="3641" width="0.85546875" style="1" customWidth="1"/>
    <col min="3642" max="3643" width="9.7109375" style="1" customWidth="1"/>
    <col min="3644" max="3644" width="0.85546875" style="1" customWidth="1"/>
    <col min="3645" max="3646" width="9.7109375" style="1" customWidth="1"/>
    <col min="3647" max="3647" width="0.7109375" style="1" customWidth="1"/>
    <col min="3648" max="3649" width="9.7109375" style="1" customWidth="1"/>
    <col min="3650" max="3650" width="0.7109375" style="1" customWidth="1"/>
    <col min="3651" max="3652" width="9.7109375" style="1" customWidth="1"/>
    <col min="3653" max="3653" width="0.85546875" style="1" customWidth="1"/>
    <col min="3654" max="3655" width="9.7109375" style="1" customWidth="1"/>
    <col min="3656" max="3656" width="0.85546875" style="1" customWidth="1"/>
    <col min="3657" max="3658" width="9.7109375" style="1" customWidth="1"/>
    <col min="3659" max="3659" width="0.85546875" style="1" customWidth="1"/>
    <col min="3660" max="3843" width="11.42578125" style="1"/>
    <col min="3844" max="3851" width="10.85546875" style="1" customWidth="1"/>
    <col min="3852" max="3852" width="6.42578125" style="1" customWidth="1"/>
    <col min="3853" max="3853" width="0.85546875" style="1" customWidth="1"/>
    <col min="3854" max="3855" width="9.7109375" style="1" customWidth="1"/>
    <col min="3856" max="3856" width="0.85546875" style="1" customWidth="1"/>
    <col min="3857" max="3858" width="9.7109375" style="1" customWidth="1"/>
    <col min="3859" max="3859" width="0.85546875" style="1" customWidth="1"/>
    <col min="3860" max="3861" width="9.7109375" style="1" customWidth="1"/>
    <col min="3862" max="3862" width="0.85546875" style="1" customWidth="1"/>
    <col min="3863" max="3864" width="9.7109375" style="1" customWidth="1"/>
    <col min="3865" max="3865" width="0.85546875" style="1" customWidth="1"/>
    <col min="3866" max="3867" width="9.7109375" style="1" customWidth="1"/>
    <col min="3868" max="3868" width="0.85546875" style="1" customWidth="1"/>
    <col min="3869" max="3870" width="9.7109375" style="1" customWidth="1"/>
    <col min="3871" max="3871" width="0.85546875" style="1" customWidth="1"/>
    <col min="3872" max="3873" width="9.7109375" style="1" customWidth="1"/>
    <col min="3874" max="3874" width="0.85546875" style="1" customWidth="1"/>
    <col min="3875" max="3875" width="6.28515625" style="1" customWidth="1"/>
    <col min="3876" max="3876" width="0.85546875" style="1" customWidth="1"/>
    <col min="3877" max="3877" width="6.28515625" style="1" customWidth="1"/>
    <col min="3878" max="3878" width="0.85546875" style="1" customWidth="1"/>
    <col min="3879" max="3880" width="9.7109375" style="1" customWidth="1"/>
    <col min="3881" max="3881" width="0.85546875" style="1" customWidth="1"/>
    <col min="3882" max="3883" width="9.7109375" style="1" customWidth="1"/>
    <col min="3884" max="3884" width="0.85546875" style="1" customWidth="1"/>
    <col min="3885" max="3885" width="4.42578125" style="1" customWidth="1"/>
    <col min="3886" max="3886" width="0.85546875" style="1" customWidth="1"/>
    <col min="3887" max="3887" width="6.28515625" style="1" customWidth="1"/>
    <col min="3888" max="3888" width="0.85546875" style="1" customWidth="1"/>
    <col min="3889" max="3890" width="9.7109375" style="1" customWidth="1"/>
    <col min="3891" max="3891" width="0.85546875" style="1" customWidth="1"/>
    <col min="3892" max="3893" width="9.7109375" style="1" customWidth="1"/>
    <col min="3894" max="3894" width="0.85546875" style="1" customWidth="1"/>
    <col min="3895" max="3896" width="9.7109375" style="1" customWidth="1"/>
    <col min="3897" max="3897" width="0.85546875" style="1" customWidth="1"/>
    <col min="3898" max="3899" width="9.7109375" style="1" customWidth="1"/>
    <col min="3900" max="3900" width="0.85546875" style="1" customWidth="1"/>
    <col min="3901" max="3902" width="9.7109375" style="1" customWidth="1"/>
    <col min="3903" max="3903" width="0.7109375" style="1" customWidth="1"/>
    <col min="3904" max="3905" width="9.7109375" style="1" customWidth="1"/>
    <col min="3906" max="3906" width="0.7109375" style="1" customWidth="1"/>
    <col min="3907" max="3908" width="9.7109375" style="1" customWidth="1"/>
    <col min="3909" max="3909" width="0.85546875" style="1" customWidth="1"/>
    <col min="3910" max="3911" width="9.7109375" style="1" customWidth="1"/>
    <col min="3912" max="3912" width="0.85546875" style="1" customWidth="1"/>
    <col min="3913" max="3914" width="9.7109375" style="1" customWidth="1"/>
    <col min="3915" max="3915" width="0.85546875" style="1" customWidth="1"/>
    <col min="3916" max="4099" width="11.42578125" style="1"/>
    <col min="4100" max="4107" width="10.85546875" style="1" customWidth="1"/>
    <col min="4108" max="4108" width="6.42578125" style="1" customWidth="1"/>
    <col min="4109" max="4109" width="0.85546875" style="1" customWidth="1"/>
    <col min="4110" max="4111" width="9.7109375" style="1" customWidth="1"/>
    <col min="4112" max="4112" width="0.85546875" style="1" customWidth="1"/>
    <col min="4113" max="4114" width="9.7109375" style="1" customWidth="1"/>
    <col min="4115" max="4115" width="0.85546875" style="1" customWidth="1"/>
    <col min="4116" max="4117" width="9.7109375" style="1" customWidth="1"/>
    <col min="4118" max="4118" width="0.85546875" style="1" customWidth="1"/>
    <col min="4119" max="4120" width="9.7109375" style="1" customWidth="1"/>
    <col min="4121" max="4121" width="0.85546875" style="1" customWidth="1"/>
    <col min="4122" max="4123" width="9.7109375" style="1" customWidth="1"/>
    <col min="4124" max="4124" width="0.85546875" style="1" customWidth="1"/>
    <col min="4125" max="4126" width="9.7109375" style="1" customWidth="1"/>
    <col min="4127" max="4127" width="0.85546875" style="1" customWidth="1"/>
    <col min="4128" max="4129" width="9.7109375" style="1" customWidth="1"/>
    <col min="4130" max="4130" width="0.85546875" style="1" customWidth="1"/>
    <col min="4131" max="4131" width="6.28515625" style="1" customWidth="1"/>
    <col min="4132" max="4132" width="0.85546875" style="1" customWidth="1"/>
    <col min="4133" max="4133" width="6.28515625" style="1" customWidth="1"/>
    <col min="4134" max="4134" width="0.85546875" style="1" customWidth="1"/>
    <col min="4135" max="4136" width="9.7109375" style="1" customWidth="1"/>
    <col min="4137" max="4137" width="0.85546875" style="1" customWidth="1"/>
    <col min="4138" max="4139" width="9.7109375" style="1" customWidth="1"/>
    <col min="4140" max="4140" width="0.85546875" style="1" customWidth="1"/>
    <col min="4141" max="4141" width="4.42578125" style="1" customWidth="1"/>
    <col min="4142" max="4142" width="0.85546875" style="1" customWidth="1"/>
    <col min="4143" max="4143" width="6.28515625" style="1" customWidth="1"/>
    <col min="4144" max="4144" width="0.85546875" style="1" customWidth="1"/>
    <col min="4145" max="4146" width="9.7109375" style="1" customWidth="1"/>
    <col min="4147" max="4147" width="0.85546875" style="1" customWidth="1"/>
    <col min="4148" max="4149" width="9.7109375" style="1" customWidth="1"/>
    <col min="4150" max="4150" width="0.85546875" style="1" customWidth="1"/>
    <col min="4151" max="4152" width="9.7109375" style="1" customWidth="1"/>
    <col min="4153" max="4153" width="0.85546875" style="1" customWidth="1"/>
    <col min="4154" max="4155" width="9.7109375" style="1" customWidth="1"/>
    <col min="4156" max="4156" width="0.85546875" style="1" customWidth="1"/>
    <col min="4157" max="4158" width="9.7109375" style="1" customWidth="1"/>
    <col min="4159" max="4159" width="0.7109375" style="1" customWidth="1"/>
    <col min="4160" max="4161" width="9.7109375" style="1" customWidth="1"/>
    <col min="4162" max="4162" width="0.7109375" style="1" customWidth="1"/>
    <col min="4163" max="4164" width="9.7109375" style="1" customWidth="1"/>
    <col min="4165" max="4165" width="0.85546875" style="1" customWidth="1"/>
    <col min="4166" max="4167" width="9.7109375" style="1" customWidth="1"/>
    <col min="4168" max="4168" width="0.85546875" style="1" customWidth="1"/>
    <col min="4169" max="4170" width="9.7109375" style="1" customWidth="1"/>
    <col min="4171" max="4171" width="0.85546875" style="1" customWidth="1"/>
    <col min="4172" max="4355" width="11.42578125" style="1"/>
    <col min="4356" max="4363" width="10.85546875" style="1" customWidth="1"/>
    <col min="4364" max="4364" width="6.42578125" style="1" customWidth="1"/>
    <col min="4365" max="4365" width="0.85546875" style="1" customWidth="1"/>
    <col min="4366" max="4367" width="9.7109375" style="1" customWidth="1"/>
    <col min="4368" max="4368" width="0.85546875" style="1" customWidth="1"/>
    <col min="4369" max="4370" width="9.7109375" style="1" customWidth="1"/>
    <col min="4371" max="4371" width="0.85546875" style="1" customWidth="1"/>
    <col min="4372" max="4373" width="9.7109375" style="1" customWidth="1"/>
    <col min="4374" max="4374" width="0.85546875" style="1" customWidth="1"/>
    <col min="4375" max="4376" width="9.7109375" style="1" customWidth="1"/>
    <col min="4377" max="4377" width="0.85546875" style="1" customWidth="1"/>
    <col min="4378" max="4379" width="9.7109375" style="1" customWidth="1"/>
    <col min="4380" max="4380" width="0.85546875" style="1" customWidth="1"/>
    <col min="4381" max="4382" width="9.7109375" style="1" customWidth="1"/>
    <col min="4383" max="4383" width="0.85546875" style="1" customWidth="1"/>
    <col min="4384" max="4385" width="9.7109375" style="1" customWidth="1"/>
    <col min="4386" max="4386" width="0.85546875" style="1" customWidth="1"/>
    <col min="4387" max="4387" width="6.28515625" style="1" customWidth="1"/>
    <col min="4388" max="4388" width="0.85546875" style="1" customWidth="1"/>
    <col min="4389" max="4389" width="6.28515625" style="1" customWidth="1"/>
    <col min="4390" max="4390" width="0.85546875" style="1" customWidth="1"/>
    <col min="4391" max="4392" width="9.7109375" style="1" customWidth="1"/>
    <col min="4393" max="4393" width="0.85546875" style="1" customWidth="1"/>
    <col min="4394" max="4395" width="9.7109375" style="1" customWidth="1"/>
    <col min="4396" max="4396" width="0.85546875" style="1" customWidth="1"/>
    <col min="4397" max="4397" width="4.42578125" style="1" customWidth="1"/>
    <col min="4398" max="4398" width="0.85546875" style="1" customWidth="1"/>
    <col min="4399" max="4399" width="6.28515625" style="1" customWidth="1"/>
    <col min="4400" max="4400" width="0.85546875" style="1" customWidth="1"/>
    <col min="4401" max="4402" width="9.7109375" style="1" customWidth="1"/>
    <col min="4403" max="4403" width="0.85546875" style="1" customWidth="1"/>
    <col min="4404" max="4405" width="9.7109375" style="1" customWidth="1"/>
    <col min="4406" max="4406" width="0.85546875" style="1" customWidth="1"/>
    <col min="4407" max="4408" width="9.7109375" style="1" customWidth="1"/>
    <col min="4409" max="4409" width="0.85546875" style="1" customWidth="1"/>
    <col min="4410" max="4411" width="9.7109375" style="1" customWidth="1"/>
    <col min="4412" max="4412" width="0.85546875" style="1" customWidth="1"/>
    <col min="4413" max="4414" width="9.7109375" style="1" customWidth="1"/>
    <col min="4415" max="4415" width="0.7109375" style="1" customWidth="1"/>
    <col min="4416" max="4417" width="9.7109375" style="1" customWidth="1"/>
    <col min="4418" max="4418" width="0.7109375" style="1" customWidth="1"/>
    <col min="4419" max="4420" width="9.7109375" style="1" customWidth="1"/>
    <col min="4421" max="4421" width="0.85546875" style="1" customWidth="1"/>
    <col min="4422" max="4423" width="9.7109375" style="1" customWidth="1"/>
    <col min="4424" max="4424" width="0.85546875" style="1" customWidth="1"/>
    <col min="4425" max="4426" width="9.7109375" style="1" customWidth="1"/>
    <col min="4427" max="4427" width="0.85546875" style="1" customWidth="1"/>
    <col min="4428" max="4611" width="11.42578125" style="1"/>
    <col min="4612" max="4619" width="10.85546875" style="1" customWidth="1"/>
    <col min="4620" max="4620" width="6.42578125" style="1" customWidth="1"/>
    <col min="4621" max="4621" width="0.85546875" style="1" customWidth="1"/>
    <col min="4622" max="4623" width="9.7109375" style="1" customWidth="1"/>
    <col min="4624" max="4624" width="0.85546875" style="1" customWidth="1"/>
    <col min="4625" max="4626" width="9.7109375" style="1" customWidth="1"/>
    <col min="4627" max="4627" width="0.85546875" style="1" customWidth="1"/>
    <col min="4628" max="4629" width="9.7109375" style="1" customWidth="1"/>
    <col min="4630" max="4630" width="0.85546875" style="1" customWidth="1"/>
    <col min="4631" max="4632" width="9.7109375" style="1" customWidth="1"/>
    <col min="4633" max="4633" width="0.85546875" style="1" customWidth="1"/>
    <col min="4634" max="4635" width="9.7109375" style="1" customWidth="1"/>
    <col min="4636" max="4636" width="0.85546875" style="1" customWidth="1"/>
    <col min="4637" max="4638" width="9.7109375" style="1" customWidth="1"/>
    <col min="4639" max="4639" width="0.85546875" style="1" customWidth="1"/>
    <col min="4640" max="4641" width="9.7109375" style="1" customWidth="1"/>
    <col min="4642" max="4642" width="0.85546875" style="1" customWidth="1"/>
    <col min="4643" max="4643" width="6.28515625" style="1" customWidth="1"/>
    <col min="4644" max="4644" width="0.85546875" style="1" customWidth="1"/>
    <col min="4645" max="4645" width="6.28515625" style="1" customWidth="1"/>
    <col min="4646" max="4646" width="0.85546875" style="1" customWidth="1"/>
    <col min="4647" max="4648" width="9.7109375" style="1" customWidth="1"/>
    <col min="4649" max="4649" width="0.85546875" style="1" customWidth="1"/>
    <col min="4650" max="4651" width="9.7109375" style="1" customWidth="1"/>
    <col min="4652" max="4652" width="0.85546875" style="1" customWidth="1"/>
    <col min="4653" max="4653" width="4.42578125" style="1" customWidth="1"/>
    <col min="4654" max="4654" width="0.85546875" style="1" customWidth="1"/>
    <col min="4655" max="4655" width="6.28515625" style="1" customWidth="1"/>
    <col min="4656" max="4656" width="0.85546875" style="1" customWidth="1"/>
    <col min="4657" max="4658" width="9.7109375" style="1" customWidth="1"/>
    <col min="4659" max="4659" width="0.85546875" style="1" customWidth="1"/>
    <col min="4660" max="4661" width="9.7109375" style="1" customWidth="1"/>
    <col min="4662" max="4662" width="0.85546875" style="1" customWidth="1"/>
    <col min="4663" max="4664" width="9.7109375" style="1" customWidth="1"/>
    <col min="4665" max="4665" width="0.85546875" style="1" customWidth="1"/>
    <col min="4666" max="4667" width="9.7109375" style="1" customWidth="1"/>
    <col min="4668" max="4668" width="0.85546875" style="1" customWidth="1"/>
    <col min="4669" max="4670" width="9.7109375" style="1" customWidth="1"/>
    <col min="4671" max="4671" width="0.7109375" style="1" customWidth="1"/>
    <col min="4672" max="4673" width="9.7109375" style="1" customWidth="1"/>
    <col min="4674" max="4674" width="0.7109375" style="1" customWidth="1"/>
    <col min="4675" max="4676" width="9.7109375" style="1" customWidth="1"/>
    <col min="4677" max="4677" width="0.85546875" style="1" customWidth="1"/>
    <col min="4678" max="4679" width="9.7109375" style="1" customWidth="1"/>
    <col min="4680" max="4680" width="0.85546875" style="1" customWidth="1"/>
    <col min="4681" max="4682" width="9.7109375" style="1" customWidth="1"/>
    <col min="4683" max="4683" width="0.85546875" style="1" customWidth="1"/>
    <col min="4684" max="4867" width="11.42578125" style="1"/>
    <col min="4868" max="4875" width="10.85546875" style="1" customWidth="1"/>
    <col min="4876" max="4876" width="6.42578125" style="1" customWidth="1"/>
    <col min="4877" max="4877" width="0.85546875" style="1" customWidth="1"/>
    <col min="4878" max="4879" width="9.7109375" style="1" customWidth="1"/>
    <col min="4880" max="4880" width="0.85546875" style="1" customWidth="1"/>
    <col min="4881" max="4882" width="9.7109375" style="1" customWidth="1"/>
    <col min="4883" max="4883" width="0.85546875" style="1" customWidth="1"/>
    <col min="4884" max="4885" width="9.7109375" style="1" customWidth="1"/>
    <col min="4886" max="4886" width="0.85546875" style="1" customWidth="1"/>
    <col min="4887" max="4888" width="9.7109375" style="1" customWidth="1"/>
    <col min="4889" max="4889" width="0.85546875" style="1" customWidth="1"/>
    <col min="4890" max="4891" width="9.7109375" style="1" customWidth="1"/>
    <col min="4892" max="4892" width="0.85546875" style="1" customWidth="1"/>
    <col min="4893" max="4894" width="9.7109375" style="1" customWidth="1"/>
    <col min="4895" max="4895" width="0.85546875" style="1" customWidth="1"/>
    <col min="4896" max="4897" width="9.7109375" style="1" customWidth="1"/>
    <col min="4898" max="4898" width="0.85546875" style="1" customWidth="1"/>
    <col min="4899" max="4899" width="6.28515625" style="1" customWidth="1"/>
    <col min="4900" max="4900" width="0.85546875" style="1" customWidth="1"/>
    <col min="4901" max="4901" width="6.28515625" style="1" customWidth="1"/>
    <col min="4902" max="4902" width="0.85546875" style="1" customWidth="1"/>
    <col min="4903" max="4904" width="9.7109375" style="1" customWidth="1"/>
    <col min="4905" max="4905" width="0.85546875" style="1" customWidth="1"/>
    <col min="4906" max="4907" width="9.7109375" style="1" customWidth="1"/>
    <col min="4908" max="4908" width="0.85546875" style="1" customWidth="1"/>
    <col min="4909" max="4909" width="4.42578125" style="1" customWidth="1"/>
    <col min="4910" max="4910" width="0.85546875" style="1" customWidth="1"/>
    <col min="4911" max="4911" width="6.28515625" style="1" customWidth="1"/>
    <col min="4912" max="4912" width="0.85546875" style="1" customWidth="1"/>
    <col min="4913" max="4914" width="9.7109375" style="1" customWidth="1"/>
    <col min="4915" max="4915" width="0.85546875" style="1" customWidth="1"/>
    <col min="4916" max="4917" width="9.7109375" style="1" customWidth="1"/>
    <col min="4918" max="4918" width="0.85546875" style="1" customWidth="1"/>
    <col min="4919" max="4920" width="9.7109375" style="1" customWidth="1"/>
    <col min="4921" max="4921" width="0.85546875" style="1" customWidth="1"/>
    <col min="4922" max="4923" width="9.7109375" style="1" customWidth="1"/>
    <col min="4924" max="4924" width="0.85546875" style="1" customWidth="1"/>
    <col min="4925" max="4926" width="9.7109375" style="1" customWidth="1"/>
    <col min="4927" max="4927" width="0.7109375" style="1" customWidth="1"/>
    <col min="4928" max="4929" width="9.7109375" style="1" customWidth="1"/>
    <col min="4930" max="4930" width="0.7109375" style="1" customWidth="1"/>
    <col min="4931" max="4932" width="9.7109375" style="1" customWidth="1"/>
    <col min="4933" max="4933" width="0.85546875" style="1" customWidth="1"/>
    <col min="4934" max="4935" width="9.7109375" style="1" customWidth="1"/>
    <col min="4936" max="4936" width="0.85546875" style="1" customWidth="1"/>
    <col min="4937" max="4938" width="9.7109375" style="1" customWidth="1"/>
    <col min="4939" max="4939" width="0.85546875" style="1" customWidth="1"/>
    <col min="4940" max="5123" width="11.42578125" style="1"/>
    <col min="5124" max="5131" width="10.85546875" style="1" customWidth="1"/>
    <col min="5132" max="5132" width="6.42578125" style="1" customWidth="1"/>
    <col min="5133" max="5133" width="0.85546875" style="1" customWidth="1"/>
    <col min="5134" max="5135" width="9.7109375" style="1" customWidth="1"/>
    <col min="5136" max="5136" width="0.85546875" style="1" customWidth="1"/>
    <col min="5137" max="5138" width="9.7109375" style="1" customWidth="1"/>
    <col min="5139" max="5139" width="0.85546875" style="1" customWidth="1"/>
    <col min="5140" max="5141" width="9.7109375" style="1" customWidth="1"/>
    <col min="5142" max="5142" width="0.85546875" style="1" customWidth="1"/>
    <col min="5143" max="5144" width="9.7109375" style="1" customWidth="1"/>
    <col min="5145" max="5145" width="0.85546875" style="1" customWidth="1"/>
    <col min="5146" max="5147" width="9.7109375" style="1" customWidth="1"/>
    <col min="5148" max="5148" width="0.85546875" style="1" customWidth="1"/>
    <col min="5149" max="5150" width="9.7109375" style="1" customWidth="1"/>
    <col min="5151" max="5151" width="0.85546875" style="1" customWidth="1"/>
    <col min="5152" max="5153" width="9.7109375" style="1" customWidth="1"/>
    <col min="5154" max="5154" width="0.85546875" style="1" customWidth="1"/>
    <col min="5155" max="5155" width="6.28515625" style="1" customWidth="1"/>
    <col min="5156" max="5156" width="0.85546875" style="1" customWidth="1"/>
    <col min="5157" max="5157" width="6.28515625" style="1" customWidth="1"/>
    <col min="5158" max="5158" width="0.85546875" style="1" customWidth="1"/>
    <col min="5159" max="5160" width="9.7109375" style="1" customWidth="1"/>
    <col min="5161" max="5161" width="0.85546875" style="1" customWidth="1"/>
    <col min="5162" max="5163" width="9.7109375" style="1" customWidth="1"/>
    <col min="5164" max="5164" width="0.85546875" style="1" customWidth="1"/>
    <col min="5165" max="5165" width="4.42578125" style="1" customWidth="1"/>
    <col min="5166" max="5166" width="0.85546875" style="1" customWidth="1"/>
    <col min="5167" max="5167" width="6.28515625" style="1" customWidth="1"/>
    <col min="5168" max="5168" width="0.85546875" style="1" customWidth="1"/>
    <col min="5169" max="5170" width="9.7109375" style="1" customWidth="1"/>
    <col min="5171" max="5171" width="0.85546875" style="1" customWidth="1"/>
    <col min="5172" max="5173" width="9.7109375" style="1" customWidth="1"/>
    <col min="5174" max="5174" width="0.85546875" style="1" customWidth="1"/>
    <col min="5175" max="5176" width="9.7109375" style="1" customWidth="1"/>
    <col min="5177" max="5177" width="0.85546875" style="1" customWidth="1"/>
    <col min="5178" max="5179" width="9.7109375" style="1" customWidth="1"/>
    <col min="5180" max="5180" width="0.85546875" style="1" customWidth="1"/>
    <col min="5181" max="5182" width="9.7109375" style="1" customWidth="1"/>
    <col min="5183" max="5183" width="0.7109375" style="1" customWidth="1"/>
    <col min="5184" max="5185" width="9.7109375" style="1" customWidth="1"/>
    <col min="5186" max="5186" width="0.7109375" style="1" customWidth="1"/>
    <col min="5187" max="5188" width="9.7109375" style="1" customWidth="1"/>
    <col min="5189" max="5189" width="0.85546875" style="1" customWidth="1"/>
    <col min="5190" max="5191" width="9.7109375" style="1" customWidth="1"/>
    <col min="5192" max="5192" width="0.85546875" style="1" customWidth="1"/>
    <col min="5193" max="5194" width="9.7109375" style="1" customWidth="1"/>
    <col min="5195" max="5195" width="0.85546875" style="1" customWidth="1"/>
    <col min="5196" max="5379" width="11.42578125" style="1"/>
    <col min="5380" max="5387" width="10.85546875" style="1" customWidth="1"/>
    <col min="5388" max="5388" width="6.42578125" style="1" customWidth="1"/>
    <col min="5389" max="5389" width="0.85546875" style="1" customWidth="1"/>
    <col min="5390" max="5391" width="9.7109375" style="1" customWidth="1"/>
    <col min="5392" max="5392" width="0.85546875" style="1" customWidth="1"/>
    <col min="5393" max="5394" width="9.7109375" style="1" customWidth="1"/>
    <col min="5395" max="5395" width="0.85546875" style="1" customWidth="1"/>
    <col min="5396" max="5397" width="9.7109375" style="1" customWidth="1"/>
    <col min="5398" max="5398" width="0.85546875" style="1" customWidth="1"/>
    <col min="5399" max="5400" width="9.7109375" style="1" customWidth="1"/>
    <col min="5401" max="5401" width="0.85546875" style="1" customWidth="1"/>
    <col min="5402" max="5403" width="9.7109375" style="1" customWidth="1"/>
    <col min="5404" max="5404" width="0.85546875" style="1" customWidth="1"/>
    <col min="5405" max="5406" width="9.7109375" style="1" customWidth="1"/>
    <col min="5407" max="5407" width="0.85546875" style="1" customWidth="1"/>
    <col min="5408" max="5409" width="9.7109375" style="1" customWidth="1"/>
    <col min="5410" max="5410" width="0.85546875" style="1" customWidth="1"/>
    <col min="5411" max="5411" width="6.28515625" style="1" customWidth="1"/>
    <col min="5412" max="5412" width="0.85546875" style="1" customWidth="1"/>
    <col min="5413" max="5413" width="6.28515625" style="1" customWidth="1"/>
    <col min="5414" max="5414" width="0.85546875" style="1" customWidth="1"/>
    <col min="5415" max="5416" width="9.7109375" style="1" customWidth="1"/>
    <col min="5417" max="5417" width="0.85546875" style="1" customWidth="1"/>
    <col min="5418" max="5419" width="9.7109375" style="1" customWidth="1"/>
    <col min="5420" max="5420" width="0.85546875" style="1" customWidth="1"/>
    <col min="5421" max="5421" width="4.42578125" style="1" customWidth="1"/>
    <col min="5422" max="5422" width="0.85546875" style="1" customWidth="1"/>
    <col min="5423" max="5423" width="6.28515625" style="1" customWidth="1"/>
    <col min="5424" max="5424" width="0.85546875" style="1" customWidth="1"/>
    <col min="5425" max="5426" width="9.7109375" style="1" customWidth="1"/>
    <col min="5427" max="5427" width="0.85546875" style="1" customWidth="1"/>
    <col min="5428" max="5429" width="9.7109375" style="1" customWidth="1"/>
    <col min="5430" max="5430" width="0.85546875" style="1" customWidth="1"/>
    <col min="5431" max="5432" width="9.7109375" style="1" customWidth="1"/>
    <col min="5433" max="5433" width="0.85546875" style="1" customWidth="1"/>
    <col min="5434" max="5435" width="9.7109375" style="1" customWidth="1"/>
    <col min="5436" max="5436" width="0.85546875" style="1" customWidth="1"/>
    <col min="5437" max="5438" width="9.7109375" style="1" customWidth="1"/>
    <col min="5439" max="5439" width="0.7109375" style="1" customWidth="1"/>
    <col min="5440" max="5441" width="9.7109375" style="1" customWidth="1"/>
    <col min="5442" max="5442" width="0.7109375" style="1" customWidth="1"/>
    <col min="5443" max="5444" width="9.7109375" style="1" customWidth="1"/>
    <col min="5445" max="5445" width="0.85546875" style="1" customWidth="1"/>
    <col min="5446" max="5447" width="9.7109375" style="1" customWidth="1"/>
    <col min="5448" max="5448" width="0.85546875" style="1" customWidth="1"/>
    <col min="5449" max="5450" width="9.7109375" style="1" customWidth="1"/>
    <col min="5451" max="5451" width="0.85546875" style="1" customWidth="1"/>
    <col min="5452" max="5635" width="11.42578125" style="1"/>
    <col min="5636" max="5643" width="10.85546875" style="1" customWidth="1"/>
    <col min="5644" max="5644" width="6.42578125" style="1" customWidth="1"/>
    <col min="5645" max="5645" width="0.85546875" style="1" customWidth="1"/>
    <col min="5646" max="5647" width="9.7109375" style="1" customWidth="1"/>
    <col min="5648" max="5648" width="0.85546875" style="1" customWidth="1"/>
    <col min="5649" max="5650" width="9.7109375" style="1" customWidth="1"/>
    <col min="5651" max="5651" width="0.85546875" style="1" customWidth="1"/>
    <col min="5652" max="5653" width="9.7109375" style="1" customWidth="1"/>
    <col min="5654" max="5654" width="0.85546875" style="1" customWidth="1"/>
    <col min="5655" max="5656" width="9.7109375" style="1" customWidth="1"/>
    <col min="5657" max="5657" width="0.85546875" style="1" customWidth="1"/>
    <col min="5658" max="5659" width="9.7109375" style="1" customWidth="1"/>
    <col min="5660" max="5660" width="0.85546875" style="1" customWidth="1"/>
    <col min="5661" max="5662" width="9.7109375" style="1" customWidth="1"/>
    <col min="5663" max="5663" width="0.85546875" style="1" customWidth="1"/>
    <col min="5664" max="5665" width="9.7109375" style="1" customWidth="1"/>
    <col min="5666" max="5666" width="0.85546875" style="1" customWidth="1"/>
    <col min="5667" max="5667" width="6.28515625" style="1" customWidth="1"/>
    <col min="5668" max="5668" width="0.85546875" style="1" customWidth="1"/>
    <col min="5669" max="5669" width="6.28515625" style="1" customWidth="1"/>
    <col min="5670" max="5670" width="0.85546875" style="1" customWidth="1"/>
    <col min="5671" max="5672" width="9.7109375" style="1" customWidth="1"/>
    <col min="5673" max="5673" width="0.85546875" style="1" customWidth="1"/>
    <col min="5674" max="5675" width="9.7109375" style="1" customWidth="1"/>
    <col min="5676" max="5676" width="0.85546875" style="1" customWidth="1"/>
    <col min="5677" max="5677" width="4.42578125" style="1" customWidth="1"/>
    <col min="5678" max="5678" width="0.85546875" style="1" customWidth="1"/>
    <col min="5679" max="5679" width="6.28515625" style="1" customWidth="1"/>
    <col min="5680" max="5680" width="0.85546875" style="1" customWidth="1"/>
    <col min="5681" max="5682" width="9.7109375" style="1" customWidth="1"/>
    <col min="5683" max="5683" width="0.85546875" style="1" customWidth="1"/>
    <col min="5684" max="5685" width="9.7109375" style="1" customWidth="1"/>
    <col min="5686" max="5686" width="0.85546875" style="1" customWidth="1"/>
    <col min="5687" max="5688" width="9.7109375" style="1" customWidth="1"/>
    <col min="5689" max="5689" width="0.85546875" style="1" customWidth="1"/>
    <col min="5690" max="5691" width="9.7109375" style="1" customWidth="1"/>
    <col min="5692" max="5692" width="0.85546875" style="1" customWidth="1"/>
    <col min="5693" max="5694" width="9.7109375" style="1" customWidth="1"/>
    <col min="5695" max="5695" width="0.7109375" style="1" customWidth="1"/>
    <col min="5696" max="5697" width="9.7109375" style="1" customWidth="1"/>
    <col min="5698" max="5698" width="0.7109375" style="1" customWidth="1"/>
    <col min="5699" max="5700" width="9.7109375" style="1" customWidth="1"/>
    <col min="5701" max="5701" width="0.85546875" style="1" customWidth="1"/>
    <col min="5702" max="5703" width="9.7109375" style="1" customWidth="1"/>
    <col min="5704" max="5704" width="0.85546875" style="1" customWidth="1"/>
    <col min="5705" max="5706" width="9.7109375" style="1" customWidth="1"/>
    <col min="5707" max="5707" width="0.85546875" style="1" customWidth="1"/>
    <col min="5708" max="5891" width="11.42578125" style="1"/>
    <col min="5892" max="5899" width="10.85546875" style="1" customWidth="1"/>
    <col min="5900" max="5900" width="6.42578125" style="1" customWidth="1"/>
    <col min="5901" max="5901" width="0.85546875" style="1" customWidth="1"/>
    <col min="5902" max="5903" width="9.7109375" style="1" customWidth="1"/>
    <col min="5904" max="5904" width="0.85546875" style="1" customWidth="1"/>
    <col min="5905" max="5906" width="9.7109375" style="1" customWidth="1"/>
    <col min="5907" max="5907" width="0.85546875" style="1" customWidth="1"/>
    <col min="5908" max="5909" width="9.7109375" style="1" customWidth="1"/>
    <col min="5910" max="5910" width="0.85546875" style="1" customWidth="1"/>
    <col min="5911" max="5912" width="9.7109375" style="1" customWidth="1"/>
    <col min="5913" max="5913" width="0.85546875" style="1" customWidth="1"/>
    <col min="5914" max="5915" width="9.7109375" style="1" customWidth="1"/>
    <col min="5916" max="5916" width="0.85546875" style="1" customWidth="1"/>
    <col min="5917" max="5918" width="9.7109375" style="1" customWidth="1"/>
    <col min="5919" max="5919" width="0.85546875" style="1" customWidth="1"/>
    <col min="5920" max="5921" width="9.7109375" style="1" customWidth="1"/>
    <col min="5922" max="5922" width="0.85546875" style="1" customWidth="1"/>
    <col min="5923" max="5923" width="6.28515625" style="1" customWidth="1"/>
    <col min="5924" max="5924" width="0.85546875" style="1" customWidth="1"/>
    <col min="5925" max="5925" width="6.28515625" style="1" customWidth="1"/>
    <col min="5926" max="5926" width="0.85546875" style="1" customWidth="1"/>
    <col min="5927" max="5928" width="9.7109375" style="1" customWidth="1"/>
    <col min="5929" max="5929" width="0.85546875" style="1" customWidth="1"/>
    <col min="5930" max="5931" width="9.7109375" style="1" customWidth="1"/>
    <col min="5932" max="5932" width="0.85546875" style="1" customWidth="1"/>
    <col min="5933" max="5933" width="4.42578125" style="1" customWidth="1"/>
    <col min="5934" max="5934" width="0.85546875" style="1" customWidth="1"/>
    <col min="5935" max="5935" width="6.28515625" style="1" customWidth="1"/>
    <col min="5936" max="5936" width="0.85546875" style="1" customWidth="1"/>
    <col min="5937" max="5938" width="9.7109375" style="1" customWidth="1"/>
    <col min="5939" max="5939" width="0.85546875" style="1" customWidth="1"/>
    <col min="5940" max="5941" width="9.7109375" style="1" customWidth="1"/>
    <col min="5942" max="5942" width="0.85546875" style="1" customWidth="1"/>
    <col min="5943" max="5944" width="9.7109375" style="1" customWidth="1"/>
    <col min="5945" max="5945" width="0.85546875" style="1" customWidth="1"/>
    <col min="5946" max="5947" width="9.7109375" style="1" customWidth="1"/>
    <col min="5948" max="5948" width="0.85546875" style="1" customWidth="1"/>
    <col min="5949" max="5950" width="9.7109375" style="1" customWidth="1"/>
    <col min="5951" max="5951" width="0.7109375" style="1" customWidth="1"/>
    <col min="5952" max="5953" width="9.7109375" style="1" customWidth="1"/>
    <col min="5954" max="5954" width="0.7109375" style="1" customWidth="1"/>
    <col min="5955" max="5956" width="9.7109375" style="1" customWidth="1"/>
    <col min="5957" max="5957" width="0.85546875" style="1" customWidth="1"/>
    <col min="5958" max="5959" width="9.7109375" style="1" customWidth="1"/>
    <col min="5960" max="5960" width="0.85546875" style="1" customWidth="1"/>
    <col min="5961" max="5962" width="9.7109375" style="1" customWidth="1"/>
    <col min="5963" max="5963" width="0.85546875" style="1" customWidth="1"/>
    <col min="5964" max="6147" width="11.42578125" style="1"/>
    <col min="6148" max="6155" width="10.85546875" style="1" customWidth="1"/>
    <col min="6156" max="6156" width="6.42578125" style="1" customWidth="1"/>
    <col min="6157" max="6157" width="0.85546875" style="1" customWidth="1"/>
    <col min="6158" max="6159" width="9.7109375" style="1" customWidth="1"/>
    <col min="6160" max="6160" width="0.85546875" style="1" customWidth="1"/>
    <col min="6161" max="6162" width="9.7109375" style="1" customWidth="1"/>
    <col min="6163" max="6163" width="0.85546875" style="1" customWidth="1"/>
    <col min="6164" max="6165" width="9.7109375" style="1" customWidth="1"/>
    <col min="6166" max="6166" width="0.85546875" style="1" customWidth="1"/>
    <col min="6167" max="6168" width="9.7109375" style="1" customWidth="1"/>
    <col min="6169" max="6169" width="0.85546875" style="1" customWidth="1"/>
    <col min="6170" max="6171" width="9.7109375" style="1" customWidth="1"/>
    <col min="6172" max="6172" width="0.85546875" style="1" customWidth="1"/>
    <col min="6173" max="6174" width="9.7109375" style="1" customWidth="1"/>
    <col min="6175" max="6175" width="0.85546875" style="1" customWidth="1"/>
    <col min="6176" max="6177" width="9.7109375" style="1" customWidth="1"/>
    <col min="6178" max="6178" width="0.85546875" style="1" customWidth="1"/>
    <col min="6179" max="6179" width="6.28515625" style="1" customWidth="1"/>
    <col min="6180" max="6180" width="0.85546875" style="1" customWidth="1"/>
    <col min="6181" max="6181" width="6.28515625" style="1" customWidth="1"/>
    <col min="6182" max="6182" width="0.85546875" style="1" customWidth="1"/>
    <col min="6183" max="6184" width="9.7109375" style="1" customWidth="1"/>
    <col min="6185" max="6185" width="0.85546875" style="1" customWidth="1"/>
    <col min="6186" max="6187" width="9.7109375" style="1" customWidth="1"/>
    <col min="6188" max="6188" width="0.85546875" style="1" customWidth="1"/>
    <col min="6189" max="6189" width="4.42578125" style="1" customWidth="1"/>
    <col min="6190" max="6190" width="0.85546875" style="1" customWidth="1"/>
    <col min="6191" max="6191" width="6.28515625" style="1" customWidth="1"/>
    <col min="6192" max="6192" width="0.85546875" style="1" customWidth="1"/>
    <col min="6193" max="6194" width="9.7109375" style="1" customWidth="1"/>
    <col min="6195" max="6195" width="0.85546875" style="1" customWidth="1"/>
    <col min="6196" max="6197" width="9.7109375" style="1" customWidth="1"/>
    <col min="6198" max="6198" width="0.85546875" style="1" customWidth="1"/>
    <col min="6199" max="6200" width="9.7109375" style="1" customWidth="1"/>
    <col min="6201" max="6201" width="0.85546875" style="1" customWidth="1"/>
    <col min="6202" max="6203" width="9.7109375" style="1" customWidth="1"/>
    <col min="6204" max="6204" width="0.85546875" style="1" customWidth="1"/>
    <col min="6205" max="6206" width="9.7109375" style="1" customWidth="1"/>
    <col min="6207" max="6207" width="0.7109375" style="1" customWidth="1"/>
    <col min="6208" max="6209" width="9.7109375" style="1" customWidth="1"/>
    <col min="6210" max="6210" width="0.7109375" style="1" customWidth="1"/>
    <col min="6211" max="6212" width="9.7109375" style="1" customWidth="1"/>
    <col min="6213" max="6213" width="0.85546875" style="1" customWidth="1"/>
    <col min="6214" max="6215" width="9.7109375" style="1" customWidth="1"/>
    <col min="6216" max="6216" width="0.85546875" style="1" customWidth="1"/>
    <col min="6217" max="6218" width="9.7109375" style="1" customWidth="1"/>
    <col min="6219" max="6219" width="0.85546875" style="1" customWidth="1"/>
    <col min="6220" max="6403" width="11.42578125" style="1"/>
    <col min="6404" max="6411" width="10.85546875" style="1" customWidth="1"/>
    <col min="6412" max="6412" width="6.42578125" style="1" customWidth="1"/>
    <col min="6413" max="6413" width="0.85546875" style="1" customWidth="1"/>
    <col min="6414" max="6415" width="9.7109375" style="1" customWidth="1"/>
    <col min="6416" max="6416" width="0.85546875" style="1" customWidth="1"/>
    <col min="6417" max="6418" width="9.7109375" style="1" customWidth="1"/>
    <col min="6419" max="6419" width="0.85546875" style="1" customWidth="1"/>
    <col min="6420" max="6421" width="9.7109375" style="1" customWidth="1"/>
    <col min="6422" max="6422" width="0.85546875" style="1" customWidth="1"/>
    <col min="6423" max="6424" width="9.7109375" style="1" customWidth="1"/>
    <col min="6425" max="6425" width="0.85546875" style="1" customWidth="1"/>
    <col min="6426" max="6427" width="9.7109375" style="1" customWidth="1"/>
    <col min="6428" max="6428" width="0.85546875" style="1" customWidth="1"/>
    <col min="6429" max="6430" width="9.7109375" style="1" customWidth="1"/>
    <col min="6431" max="6431" width="0.85546875" style="1" customWidth="1"/>
    <col min="6432" max="6433" width="9.7109375" style="1" customWidth="1"/>
    <col min="6434" max="6434" width="0.85546875" style="1" customWidth="1"/>
    <col min="6435" max="6435" width="6.28515625" style="1" customWidth="1"/>
    <col min="6436" max="6436" width="0.85546875" style="1" customWidth="1"/>
    <col min="6437" max="6437" width="6.28515625" style="1" customWidth="1"/>
    <col min="6438" max="6438" width="0.85546875" style="1" customWidth="1"/>
    <col min="6439" max="6440" width="9.7109375" style="1" customWidth="1"/>
    <col min="6441" max="6441" width="0.85546875" style="1" customWidth="1"/>
    <col min="6442" max="6443" width="9.7109375" style="1" customWidth="1"/>
    <col min="6444" max="6444" width="0.85546875" style="1" customWidth="1"/>
    <col min="6445" max="6445" width="4.42578125" style="1" customWidth="1"/>
    <col min="6446" max="6446" width="0.85546875" style="1" customWidth="1"/>
    <col min="6447" max="6447" width="6.28515625" style="1" customWidth="1"/>
    <col min="6448" max="6448" width="0.85546875" style="1" customWidth="1"/>
    <col min="6449" max="6450" width="9.7109375" style="1" customWidth="1"/>
    <col min="6451" max="6451" width="0.85546875" style="1" customWidth="1"/>
    <col min="6452" max="6453" width="9.7109375" style="1" customWidth="1"/>
    <col min="6454" max="6454" width="0.85546875" style="1" customWidth="1"/>
    <col min="6455" max="6456" width="9.7109375" style="1" customWidth="1"/>
    <col min="6457" max="6457" width="0.85546875" style="1" customWidth="1"/>
    <col min="6458" max="6459" width="9.7109375" style="1" customWidth="1"/>
    <col min="6460" max="6460" width="0.85546875" style="1" customWidth="1"/>
    <col min="6461" max="6462" width="9.7109375" style="1" customWidth="1"/>
    <col min="6463" max="6463" width="0.7109375" style="1" customWidth="1"/>
    <col min="6464" max="6465" width="9.7109375" style="1" customWidth="1"/>
    <col min="6466" max="6466" width="0.7109375" style="1" customWidth="1"/>
    <col min="6467" max="6468" width="9.7109375" style="1" customWidth="1"/>
    <col min="6469" max="6469" width="0.85546875" style="1" customWidth="1"/>
    <col min="6470" max="6471" width="9.7109375" style="1" customWidth="1"/>
    <col min="6472" max="6472" width="0.85546875" style="1" customWidth="1"/>
    <col min="6473" max="6474" width="9.7109375" style="1" customWidth="1"/>
    <col min="6475" max="6475" width="0.85546875" style="1" customWidth="1"/>
    <col min="6476" max="6659" width="11.42578125" style="1"/>
    <col min="6660" max="6667" width="10.85546875" style="1" customWidth="1"/>
    <col min="6668" max="6668" width="6.42578125" style="1" customWidth="1"/>
    <col min="6669" max="6669" width="0.85546875" style="1" customWidth="1"/>
    <col min="6670" max="6671" width="9.7109375" style="1" customWidth="1"/>
    <col min="6672" max="6672" width="0.85546875" style="1" customWidth="1"/>
    <col min="6673" max="6674" width="9.7109375" style="1" customWidth="1"/>
    <col min="6675" max="6675" width="0.85546875" style="1" customWidth="1"/>
    <col min="6676" max="6677" width="9.7109375" style="1" customWidth="1"/>
    <col min="6678" max="6678" width="0.85546875" style="1" customWidth="1"/>
    <col min="6679" max="6680" width="9.7109375" style="1" customWidth="1"/>
    <col min="6681" max="6681" width="0.85546875" style="1" customWidth="1"/>
    <col min="6682" max="6683" width="9.7109375" style="1" customWidth="1"/>
    <col min="6684" max="6684" width="0.85546875" style="1" customWidth="1"/>
    <col min="6685" max="6686" width="9.7109375" style="1" customWidth="1"/>
    <col min="6687" max="6687" width="0.85546875" style="1" customWidth="1"/>
    <col min="6688" max="6689" width="9.7109375" style="1" customWidth="1"/>
    <col min="6690" max="6690" width="0.85546875" style="1" customWidth="1"/>
    <col min="6691" max="6691" width="6.28515625" style="1" customWidth="1"/>
    <col min="6692" max="6692" width="0.85546875" style="1" customWidth="1"/>
    <col min="6693" max="6693" width="6.28515625" style="1" customWidth="1"/>
    <col min="6694" max="6694" width="0.85546875" style="1" customWidth="1"/>
    <col min="6695" max="6696" width="9.7109375" style="1" customWidth="1"/>
    <col min="6697" max="6697" width="0.85546875" style="1" customWidth="1"/>
    <col min="6698" max="6699" width="9.7109375" style="1" customWidth="1"/>
    <col min="6700" max="6700" width="0.85546875" style="1" customWidth="1"/>
    <col min="6701" max="6701" width="4.42578125" style="1" customWidth="1"/>
    <col min="6702" max="6702" width="0.85546875" style="1" customWidth="1"/>
    <col min="6703" max="6703" width="6.28515625" style="1" customWidth="1"/>
    <col min="6704" max="6704" width="0.85546875" style="1" customWidth="1"/>
    <col min="6705" max="6706" width="9.7109375" style="1" customWidth="1"/>
    <col min="6707" max="6707" width="0.85546875" style="1" customWidth="1"/>
    <col min="6708" max="6709" width="9.7109375" style="1" customWidth="1"/>
    <col min="6710" max="6710" width="0.85546875" style="1" customWidth="1"/>
    <col min="6711" max="6712" width="9.7109375" style="1" customWidth="1"/>
    <col min="6713" max="6713" width="0.85546875" style="1" customWidth="1"/>
    <col min="6714" max="6715" width="9.7109375" style="1" customWidth="1"/>
    <col min="6716" max="6716" width="0.85546875" style="1" customWidth="1"/>
    <col min="6717" max="6718" width="9.7109375" style="1" customWidth="1"/>
    <col min="6719" max="6719" width="0.7109375" style="1" customWidth="1"/>
    <col min="6720" max="6721" width="9.7109375" style="1" customWidth="1"/>
    <col min="6722" max="6722" width="0.7109375" style="1" customWidth="1"/>
    <col min="6723" max="6724" width="9.7109375" style="1" customWidth="1"/>
    <col min="6725" max="6725" width="0.85546875" style="1" customWidth="1"/>
    <col min="6726" max="6727" width="9.7109375" style="1" customWidth="1"/>
    <col min="6728" max="6728" width="0.85546875" style="1" customWidth="1"/>
    <col min="6729" max="6730" width="9.7109375" style="1" customWidth="1"/>
    <col min="6731" max="6731" width="0.85546875" style="1" customWidth="1"/>
    <col min="6732" max="6915" width="11.42578125" style="1"/>
    <col min="6916" max="6923" width="10.85546875" style="1" customWidth="1"/>
    <col min="6924" max="6924" width="6.42578125" style="1" customWidth="1"/>
    <col min="6925" max="6925" width="0.85546875" style="1" customWidth="1"/>
    <col min="6926" max="6927" width="9.7109375" style="1" customWidth="1"/>
    <col min="6928" max="6928" width="0.85546875" style="1" customWidth="1"/>
    <col min="6929" max="6930" width="9.7109375" style="1" customWidth="1"/>
    <col min="6931" max="6931" width="0.85546875" style="1" customWidth="1"/>
    <col min="6932" max="6933" width="9.7109375" style="1" customWidth="1"/>
    <col min="6934" max="6934" width="0.85546875" style="1" customWidth="1"/>
    <col min="6935" max="6936" width="9.7109375" style="1" customWidth="1"/>
    <col min="6937" max="6937" width="0.85546875" style="1" customWidth="1"/>
    <col min="6938" max="6939" width="9.7109375" style="1" customWidth="1"/>
    <col min="6940" max="6940" width="0.85546875" style="1" customWidth="1"/>
    <col min="6941" max="6942" width="9.7109375" style="1" customWidth="1"/>
    <col min="6943" max="6943" width="0.85546875" style="1" customWidth="1"/>
    <col min="6944" max="6945" width="9.7109375" style="1" customWidth="1"/>
    <col min="6946" max="6946" width="0.85546875" style="1" customWidth="1"/>
    <col min="6947" max="6947" width="6.28515625" style="1" customWidth="1"/>
    <col min="6948" max="6948" width="0.85546875" style="1" customWidth="1"/>
    <col min="6949" max="6949" width="6.28515625" style="1" customWidth="1"/>
    <col min="6950" max="6950" width="0.85546875" style="1" customWidth="1"/>
    <col min="6951" max="6952" width="9.7109375" style="1" customWidth="1"/>
    <col min="6953" max="6953" width="0.85546875" style="1" customWidth="1"/>
    <col min="6954" max="6955" width="9.7109375" style="1" customWidth="1"/>
    <col min="6956" max="6956" width="0.85546875" style="1" customWidth="1"/>
    <col min="6957" max="6957" width="4.42578125" style="1" customWidth="1"/>
    <col min="6958" max="6958" width="0.85546875" style="1" customWidth="1"/>
    <col min="6959" max="6959" width="6.28515625" style="1" customWidth="1"/>
    <col min="6960" max="6960" width="0.85546875" style="1" customWidth="1"/>
    <col min="6961" max="6962" width="9.7109375" style="1" customWidth="1"/>
    <col min="6963" max="6963" width="0.85546875" style="1" customWidth="1"/>
    <col min="6964" max="6965" width="9.7109375" style="1" customWidth="1"/>
    <col min="6966" max="6966" width="0.85546875" style="1" customWidth="1"/>
    <col min="6967" max="6968" width="9.7109375" style="1" customWidth="1"/>
    <col min="6969" max="6969" width="0.85546875" style="1" customWidth="1"/>
    <col min="6970" max="6971" width="9.7109375" style="1" customWidth="1"/>
    <col min="6972" max="6972" width="0.85546875" style="1" customWidth="1"/>
    <col min="6973" max="6974" width="9.7109375" style="1" customWidth="1"/>
    <col min="6975" max="6975" width="0.7109375" style="1" customWidth="1"/>
    <col min="6976" max="6977" width="9.7109375" style="1" customWidth="1"/>
    <col min="6978" max="6978" width="0.7109375" style="1" customWidth="1"/>
    <col min="6979" max="6980" width="9.7109375" style="1" customWidth="1"/>
    <col min="6981" max="6981" width="0.85546875" style="1" customWidth="1"/>
    <col min="6982" max="6983" width="9.7109375" style="1" customWidth="1"/>
    <col min="6984" max="6984" width="0.85546875" style="1" customWidth="1"/>
    <col min="6985" max="6986" width="9.7109375" style="1" customWidth="1"/>
    <col min="6987" max="6987" width="0.85546875" style="1" customWidth="1"/>
    <col min="6988" max="7171" width="11.42578125" style="1"/>
    <col min="7172" max="7179" width="10.85546875" style="1" customWidth="1"/>
    <col min="7180" max="7180" width="6.42578125" style="1" customWidth="1"/>
    <col min="7181" max="7181" width="0.85546875" style="1" customWidth="1"/>
    <col min="7182" max="7183" width="9.7109375" style="1" customWidth="1"/>
    <col min="7184" max="7184" width="0.85546875" style="1" customWidth="1"/>
    <col min="7185" max="7186" width="9.7109375" style="1" customWidth="1"/>
    <col min="7187" max="7187" width="0.85546875" style="1" customWidth="1"/>
    <col min="7188" max="7189" width="9.7109375" style="1" customWidth="1"/>
    <col min="7190" max="7190" width="0.85546875" style="1" customWidth="1"/>
    <col min="7191" max="7192" width="9.7109375" style="1" customWidth="1"/>
    <col min="7193" max="7193" width="0.85546875" style="1" customWidth="1"/>
    <col min="7194" max="7195" width="9.7109375" style="1" customWidth="1"/>
    <col min="7196" max="7196" width="0.85546875" style="1" customWidth="1"/>
    <col min="7197" max="7198" width="9.7109375" style="1" customWidth="1"/>
    <col min="7199" max="7199" width="0.85546875" style="1" customWidth="1"/>
    <col min="7200" max="7201" width="9.7109375" style="1" customWidth="1"/>
    <col min="7202" max="7202" width="0.85546875" style="1" customWidth="1"/>
    <col min="7203" max="7203" width="6.28515625" style="1" customWidth="1"/>
    <col min="7204" max="7204" width="0.85546875" style="1" customWidth="1"/>
    <col min="7205" max="7205" width="6.28515625" style="1" customWidth="1"/>
    <col min="7206" max="7206" width="0.85546875" style="1" customWidth="1"/>
    <col min="7207" max="7208" width="9.7109375" style="1" customWidth="1"/>
    <col min="7209" max="7209" width="0.85546875" style="1" customWidth="1"/>
    <col min="7210" max="7211" width="9.7109375" style="1" customWidth="1"/>
    <col min="7212" max="7212" width="0.85546875" style="1" customWidth="1"/>
    <col min="7213" max="7213" width="4.42578125" style="1" customWidth="1"/>
    <col min="7214" max="7214" width="0.85546875" style="1" customWidth="1"/>
    <col min="7215" max="7215" width="6.28515625" style="1" customWidth="1"/>
    <col min="7216" max="7216" width="0.85546875" style="1" customWidth="1"/>
    <col min="7217" max="7218" width="9.7109375" style="1" customWidth="1"/>
    <col min="7219" max="7219" width="0.85546875" style="1" customWidth="1"/>
    <col min="7220" max="7221" width="9.7109375" style="1" customWidth="1"/>
    <col min="7222" max="7222" width="0.85546875" style="1" customWidth="1"/>
    <col min="7223" max="7224" width="9.7109375" style="1" customWidth="1"/>
    <col min="7225" max="7225" width="0.85546875" style="1" customWidth="1"/>
    <col min="7226" max="7227" width="9.7109375" style="1" customWidth="1"/>
    <col min="7228" max="7228" width="0.85546875" style="1" customWidth="1"/>
    <col min="7229" max="7230" width="9.7109375" style="1" customWidth="1"/>
    <col min="7231" max="7231" width="0.7109375" style="1" customWidth="1"/>
    <col min="7232" max="7233" width="9.7109375" style="1" customWidth="1"/>
    <col min="7234" max="7234" width="0.7109375" style="1" customWidth="1"/>
    <col min="7235" max="7236" width="9.7109375" style="1" customWidth="1"/>
    <col min="7237" max="7237" width="0.85546875" style="1" customWidth="1"/>
    <col min="7238" max="7239" width="9.7109375" style="1" customWidth="1"/>
    <col min="7240" max="7240" width="0.85546875" style="1" customWidth="1"/>
    <col min="7241" max="7242" width="9.7109375" style="1" customWidth="1"/>
    <col min="7243" max="7243" width="0.85546875" style="1" customWidth="1"/>
    <col min="7244" max="7427" width="11.42578125" style="1"/>
    <col min="7428" max="7435" width="10.85546875" style="1" customWidth="1"/>
    <col min="7436" max="7436" width="6.42578125" style="1" customWidth="1"/>
    <col min="7437" max="7437" width="0.85546875" style="1" customWidth="1"/>
    <col min="7438" max="7439" width="9.7109375" style="1" customWidth="1"/>
    <col min="7440" max="7440" width="0.85546875" style="1" customWidth="1"/>
    <col min="7441" max="7442" width="9.7109375" style="1" customWidth="1"/>
    <col min="7443" max="7443" width="0.85546875" style="1" customWidth="1"/>
    <col min="7444" max="7445" width="9.7109375" style="1" customWidth="1"/>
    <col min="7446" max="7446" width="0.85546875" style="1" customWidth="1"/>
    <col min="7447" max="7448" width="9.7109375" style="1" customWidth="1"/>
    <col min="7449" max="7449" width="0.85546875" style="1" customWidth="1"/>
    <col min="7450" max="7451" width="9.7109375" style="1" customWidth="1"/>
    <col min="7452" max="7452" width="0.85546875" style="1" customWidth="1"/>
    <col min="7453" max="7454" width="9.7109375" style="1" customWidth="1"/>
    <col min="7455" max="7455" width="0.85546875" style="1" customWidth="1"/>
    <col min="7456" max="7457" width="9.7109375" style="1" customWidth="1"/>
    <col min="7458" max="7458" width="0.85546875" style="1" customWidth="1"/>
    <col min="7459" max="7459" width="6.28515625" style="1" customWidth="1"/>
    <col min="7460" max="7460" width="0.85546875" style="1" customWidth="1"/>
    <col min="7461" max="7461" width="6.28515625" style="1" customWidth="1"/>
    <col min="7462" max="7462" width="0.85546875" style="1" customWidth="1"/>
    <col min="7463" max="7464" width="9.7109375" style="1" customWidth="1"/>
    <col min="7465" max="7465" width="0.85546875" style="1" customWidth="1"/>
    <col min="7466" max="7467" width="9.7109375" style="1" customWidth="1"/>
    <col min="7468" max="7468" width="0.85546875" style="1" customWidth="1"/>
    <col min="7469" max="7469" width="4.42578125" style="1" customWidth="1"/>
    <col min="7470" max="7470" width="0.85546875" style="1" customWidth="1"/>
    <col min="7471" max="7471" width="6.28515625" style="1" customWidth="1"/>
    <col min="7472" max="7472" width="0.85546875" style="1" customWidth="1"/>
    <col min="7473" max="7474" width="9.7109375" style="1" customWidth="1"/>
    <col min="7475" max="7475" width="0.85546875" style="1" customWidth="1"/>
    <col min="7476" max="7477" width="9.7109375" style="1" customWidth="1"/>
    <col min="7478" max="7478" width="0.85546875" style="1" customWidth="1"/>
    <col min="7479" max="7480" width="9.7109375" style="1" customWidth="1"/>
    <col min="7481" max="7481" width="0.85546875" style="1" customWidth="1"/>
    <col min="7482" max="7483" width="9.7109375" style="1" customWidth="1"/>
    <col min="7484" max="7484" width="0.85546875" style="1" customWidth="1"/>
    <col min="7485" max="7486" width="9.7109375" style="1" customWidth="1"/>
    <col min="7487" max="7487" width="0.7109375" style="1" customWidth="1"/>
    <col min="7488" max="7489" width="9.7109375" style="1" customWidth="1"/>
    <col min="7490" max="7490" width="0.7109375" style="1" customWidth="1"/>
    <col min="7491" max="7492" width="9.7109375" style="1" customWidth="1"/>
    <col min="7493" max="7493" width="0.85546875" style="1" customWidth="1"/>
    <col min="7494" max="7495" width="9.7109375" style="1" customWidth="1"/>
    <col min="7496" max="7496" width="0.85546875" style="1" customWidth="1"/>
    <col min="7497" max="7498" width="9.7109375" style="1" customWidth="1"/>
    <col min="7499" max="7499" width="0.85546875" style="1" customWidth="1"/>
    <col min="7500" max="7683" width="11.42578125" style="1"/>
    <col min="7684" max="7691" width="10.85546875" style="1" customWidth="1"/>
    <col min="7692" max="7692" width="6.42578125" style="1" customWidth="1"/>
    <col min="7693" max="7693" width="0.85546875" style="1" customWidth="1"/>
    <col min="7694" max="7695" width="9.7109375" style="1" customWidth="1"/>
    <col min="7696" max="7696" width="0.85546875" style="1" customWidth="1"/>
    <col min="7697" max="7698" width="9.7109375" style="1" customWidth="1"/>
    <col min="7699" max="7699" width="0.85546875" style="1" customWidth="1"/>
    <col min="7700" max="7701" width="9.7109375" style="1" customWidth="1"/>
    <col min="7702" max="7702" width="0.85546875" style="1" customWidth="1"/>
    <col min="7703" max="7704" width="9.7109375" style="1" customWidth="1"/>
    <col min="7705" max="7705" width="0.85546875" style="1" customWidth="1"/>
    <col min="7706" max="7707" width="9.7109375" style="1" customWidth="1"/>
    <col min="7708" max="7708" width="0.85546875" style="1" customWidth="1"/>
    <col min="7709" max="7710" width="9.7109375" style="1" customWidth="1"/>
    <col min="7711" max="7711" width="0.85546875" style="1" customWidth="1"/>
    <col min="7712" max="7713" width="9.7109375" style="1" customWidth="1"/>
    <col min="7714" max="7714" width="0.85546875" style="1" customWidth="1"/>
    <col min="7715" max="7715" width="6.28515625" style="1" customWidth="1"/>
    <col min="7716" max="7716" width="0.85546875" style="1" customWidth="1"/>
    <col min="7717" max="7717" width="6.28515625" style="1" customWidth="1"/>
    <col min="7718" max="7718" width="0.85546875" style="1" customWidth="1"/>
    <col min="7719" max="7720" width="9.7109375" style="1" customWidth="1"/>
    <col min="7721" max="7721" width="0.85546875" style="1" customWidth="1"/>
    <col min="7722" max="7723" width="9.7109375" style="1" customWidth="1"/>
    <col min="7724" max="7724" width="0.85546875" style="1" customWidth="1"/>
    <col min="7725" max="7725" width="4.42578125" style="1" customWidth="1"/>
    <col min="7726" max="7726" width="0.85546875" style="1" customWidth="1"/>
    <col min="7727" max="7727" width="6.28515625" style="1" customWidth="1"/>
    <col min="7728" max="7728" width="0.85546875" style="1" customWidth="1"/>
    <col min="7729" max="7730" width="9.7109375" style="1" customWidth="1"/>
    <col min="7731" max="7731" width="0.85546875" style="1" customWidth="1"/>
    <col min="7732" max="7733" width="9.7109375" style="1" customWidth="1"/>
    <col min="7734" max="7734" width="0.85546875" style="1" customWidth="1"/>
    <col min="7735" max="7736" width="9.7109375" style="1" customWidth="1"/>
    <col min="7737" max="7737" width="0.85546875" style="1" customWidth="1"/>
    <col min="7738" max="7739" width="9.7109375" style="1" customWidth="1"/>
    <col min="7740" max="7740" width="0.85546875" style="1" customWidth="1"/>
    <col min="7741" max="7742" width="9.7109375" style="1" customWidth="1"/>
    <col min="7743" max="7743" width="0.7109375" style="1" customWidth="1"/>
    <col min="7744" max="7745" width="9.7109375" style="1" customWidth="1"/>
    <col min="7746" max="7746" width="0.7109375" style="1" customWidth="1"/>
    <col min="7747" max="7748" width="9.7109375" style="1" customWidth="1"/>
    <col min="7749" max="7749" width="0.85546875" style="1" customWidth="1"/>
    <col min="7750" max="7751" width="9.7109375" style="1" customWidth="1"/>
    <col min="7752" max="7752" width="0.85546875" style="1" customWidth="1"/>
    <col min="7753" max="7754" width="9.7109375" style="1" customWidth="1"/>
    <col min="7755" max="7755" width="0.85546875" style="1" customWidth="1"/>
    <col min="7756" max="7939" width="11.42578125" style="1"/>
    <col min="7940" max="7947" width="10.85546875" style="1" customWidth="1"/>
    <col min="7948" max="7948" width="6.42578125" style="1" customWidth="1"/>
    <col min="7949" max="7949" width="0.85546875" style="1" customWidth="1"/>
    <col min="7950" max="7951" width="9.7109375" style="1" customWidth="1"/>
    <col min="7952" max="7952" width="0.85546875" style="1" customWidth="1"/>
    <col min="7953" max="7954" width="9.7109375" style="1" customWidth="1"/>
    <col min="7955" max="7955" width="0.85546875" style="1" customWidth="1"/>
    <col min="7956" max="7957" width="9.7109375" style="1" customWidth="1"/>
    <col min="7958" max="7958" width="0.85546875" style="1" customWidth="1"/>
    <col min="7959" max="7960" width="9.7109375" style="1" customWidth="1"/>
    <col min="7961" max="7961" width="0.85546875" style="1" customWidth="1"/>
    <col min="7962" max="7963" width="9.7109375" style="1" customWidth="1"/>
    <col min="7964" max="7964" width="0.85546875" style="1" customWidth="1"/>
    <col min="7965" max="7966" width="9.7109375" style="1" customWidth="1"/>
    <col min="7967" max="7967" width="0.85546875" style="1" customWidth="1"/>
    <col min="7968" max="7969" width="9.7109375" style="1" customWidth="1"/>
    <col min="7970" max="7970" width="0.85546875" style="1" customWidth="1"/>
    <col min="7971" max="7971" width="6.28515625" style="1" customWidth="1"/>
    <col min="7972" max="7972" width="0.85546875" style="1" customWidth="1"/>
    <col min="7973" max="7973" width="6.28515625" style="1" customWidth="1"/>
    <col min="7974" max="7974" width="0.85546875" style="1" customWidth="1"/>
    <col min="7975" max="7976" width="9.7109375" style="1" customWidth="1"/>
    <col min="7977" max="7977" width="0.85546875" style="1" customWidth="1"/>
    <col min="7978" max="7979" width="9.7109375" style="1" customWidth="1"/>
    <col min="7980" max="7980" width="0.85546875" style="1" customWidth="1"/>
    <col min="7981" max="7981" width="4.42578125" style="1" customWidth="1"/>
    <col min="7982" max="7982" width="0.85546875" style="1" customWidth="1"/>
    <col min="7983" max="7983" width="6.28515625" style="1" customWidth="1"/>
    <col min="7984" max="7984" width="0.85546875" style="1" customWidth="1"/>
    <col min="7985" max="7986" width="9.7109375" style="1" customWidth="1"/>
    <col min="7987" max="7987" width="0.85546875" style="1" customWidth="1"/>
    <col min="7988" max="7989" width="9.7109375" style="1" customWidth="1"/>
    <col min="7990" max="7990" width="0.85546875" style="1" customWidth="1"/>
    <col min="7991" max="7992" width="9.7109375" style="1" customWidth="1"/>
    <col min="7993" max="7993" width="0.85546875" style="1" customWidth="1"/>
    <col min="7994" max="7995" width="9.7109375" style="1" customWidth="1"/>
    <col min="7996" max="7996" width="0.85546875" style="1" customWidth="1"/>
    <col min="7997" max="7998" width="9.7109375" style="1" customWidth="1"/>
    <col min="7999" max="7999" width="0.7109375" style="1" customWidth="1"/>
    <col min="8000" max="8001" width="9.7109375" style="1" customWidth="1"/>
    <col min="8002" max="8002" width="0.7109375" style="1" customWidth="1"/>
    <col min="8003" max="8004" width="9.7109375" style="1" customWidth="1"/>
    <col min="8005" max="8005" width="0.85546875" style="1" customWidth="1"/>
    <col min="8006" max="8007" width="9.7109375" style="1" customWidth="1"/>
    <col min="8008" max="8008" width="0.85546875" style="1" customWidth="1"/>
    <col min="8009" max="8010" width="9.7109375" style="1" customWidth="1"/>
    <col min="8011" max="8011" width="0.85546875" style="1" customWidth="1"/>
    <col min="8012" max="8195" width="11.42578125" style="1"/>
    <col min="8196" max="8203" width="10.85546875" style="1" customWidth="1"/>
    <col min="8204" max="8204" width="6.42578125" style="1" customWidth="1"/>
    <col min="8205" max="8205" width="0.85546875" style="1" customWidth="1"/>
    <col min="8206" max="8207" width="9.7109375" style="1" customWidth="1"/>
    <col min="8208" max="8208" width="0.85546875" style="1" customWidth="1"/>
    <col min="8209" max="8210" width="9.7109375" style="1" customWidth="1"/>
    <col min="8211" max="8211" width="0.85546875" style="1" customWidth="1"/>
    <col min="8212" max="8213" width="9.7109375" style="1" customWidth="1"/>
    <col min="8214" max="8214" width="0.85546875" style="1" customWidth="1"/>
    <col min="8215" max="8216" width="9.7109375" style="1" customWidth="1"/>
    <col min="8217" max="8217" width="0.85546875" style="1" customWidth="1"/>
    <col min="8218" max="8219" width="9.7109375" style="1" customWidth="1"/>
    <col min="8220" max="8220" width="0.85546875" style="1" customWidth="1"/>
    <col min="8221" max="8222" width="9.7109375" style="1" customWidth="1"/>
    <col min="8223" max="8223" width="0.85546875" style="1" customWidth="1"/>
    <col min="8224" max="8225" width="9.7109375" style="1" customWidth="1"/>
    <col min="8226" max="8226" width="0.85546875" style="1" customWidth="1"/>
    <col min="8227" max="8227" width="6.28515625" style="1" customWidth="1"/>
    <col min="8228" max="8228" width="0.85546875" style="1" customWidth="1"/>
    <col min="8229" max="8229" width="6.28515625" style="1" customWidth="1"/>
    <col min="8230" max="8230" width="0.85546875" style="1" customWidth="1"/>
    <col min="8231" max="8232" width="9.7109375" style="1" customWidth="1"/>
    <col min="8233" max="8233" width="0.85546875" style="1" customWidth="1"/>
    <col min="8234" max="8235" width="9.7109375" style="1" customWidth="1"/>
    <col min="8236" max="8236" width="0.85546875" style="1" customWidth="1"/>
    <col min="8237" max="8237" width="4.42578125" style="1" customWidth="1"/>
    <col min="8238" max="8238" width="0.85546875" style="1" customWidth="1"/>
    <col min="8239" max="8239" width="6.28515625" style="1" customWidth="1"/>
    <col min="8240" max="8240" width="0.85546875" style="1" customWidth="1"/>
    <col min="8241" max="8242" width="9.7109375" style="1" customWidth="1"/>
    <col min="8243" max="8243" width="0.85546875" style="1" customWidth="1"/>
    <col min="8244" max="8245" width="9.7109375" style="1" customWidth="1"/>
    <col min="8246" max="8246" width="0.85546875" style="1" customWidth="1"/>
    <col min="8247" max="8248" width="9.7109375" style="1" customWidth="1"/>
    <col min="8249" max="8249" width="0.85546875" style="1" customWidth="1"/>
    <col min="8250" max="8251" width="9.7109375" style="1" customWidth="1"/>
    <col min="8252" max="8252" width="0.85546875" style="1" customWidth="1"/>
    <col min="8253" max="8254" width="9.7109375" style="1" customWidth="1"/>
    <col min="8255" max="8255" width="0.7109375" style="1" customWidth="1"/>
    <col min="8256" max="8257" width="9.7109375" style="1" customWidth="1"/>
    <col min="8258" max="8258" width="0.7109375" style="1" customWidth="1"/>
    <col min="8259" max="8260" width="9.7109375" style="1" customWidth="1"/>
    <col min="8261" max="8261" width="0.85546875" style="1" customWidth="1"/>
    <col min="8262" max="8263" width="9.7109375" style="1" customWidth="1"/>
    <col min="8264" max="8264" width="0.85546875" style="1" customWidth="1"/>
    <col min="8265" max="8266" width="9.7109375" style="1" customWidth="1"/>
    <col min="8267" max="8267" width="0.85546875" style="1" customWidth="1"/>
    <col min="8268" max="8451" width="11.42578125" style="1"/>
    <col min="8452" max="8459" width="10.85546875" style="1" customWidth="1"/>
    <col min="8460" max="8460" width="6.42578125" style="1" customWidth="1"/>
    <col min="8461" max="8461" width="0.85546875" style="1" customWidth="1"/>
    <col min="8462" max="8463" width="9.7109375" style="1" customWidth="1"/>
    <col min="8464" max="8464" width="0.85546875" style="1" customWidth="1"/>
    <col min="8465" max="8466" width="9.7109375" style="1" customWidth="1"/>
    <col min="8467" max="8467" width="0.85546875" style="1" customWidth="1"/>
    <col min="8468" max="8469" width="9.7109375" style="1" customWidth="1"/>
    <col min="8470" max="8470" width="0.85546875" style="1" customWidth="1"/>
    <col min="8471" max="8472" width="9.7109375" style="1" customWidth="1"/>
    <col min="8473" max="8473" width="0.85546875" style="1" customWidth="1"/>
    <col min="8474" max="8475" width="9.7109375" style="1" customWidth="1"/>
    <col min="8476" max="8476" width="0.85546875" style="1" customWidth="1"/>
    <col min="8477" max="8478" width="9.7109375" style="1" customWidth="1"/>
    <col min="8479" max="8479" width="0.85546875" style="1" customWidth="1"/>
    <col min="8480" max="8481" width="9.7109375" style="1" customWidth="1"/>
    <col min="8482" max="8482" width="0.85546875" style="1" customWidth="1"/>
    <col min="8483" max="8483" width="6.28515625" style="1" customWidth="1"/>
    <col min="8484" max="8484" width="0.85546875" style="1" customWidth="1"/>
    <col min="8485" max="8485" width="6.28515625" style="1" customWidth="1"/>
    <col min="8486" max="8486" width="0.85546875" style="1" customWidth="1"/>
    <col min="8487" max="8488" width="9.7109375" style="1" customWidth="1"/>
    <col min="8489" max="8489" width="0.85546875" style="1" customWidth="1"/>
    <col min="8490" max="8491" width="9.7109375" style="1" customWidth="1"/>
    <col min="8492" max="8492" width="0.85546875" style="1" customWidth="1"/>
    <col min="8493" max="8493" width="4.42578125" style="1" customWidth="1"/>
    <col min="8494" max="8494" width="0.85546875" style="1" customWidth="1"/>
    <col min="8495" max="8495" width="6.28515625" style="1" customWidth="1"/>
    <col min="8496" max="8496" width="0.85546875" style="1" customWidth="1"/>
    <col min="8497" max="8498" width="9.7109375" style="1" customWidth="1"/>
    <col min="8499" max="8499" width="0.85546875" style="1" customWidth="1"/>
    <col min="8500" max="8501" width="9.7109375" style="1" customWidth="1"/>
    <col min="8502" max="8502" width="0.85546875" style="1" customWidth="1"/>
    <col min="8503" max="8504" width="9.7109375" style="1" customWidth="1"/>
    <col min="8505" max="8505" width="0.85546875" style="1" customWidth="1"/>
    <col min="8506" max="8507" width="9.7109375" style="1" customWidth="1"/>
    <col min="8508" max="8508" width="0.85546875" style="1" customWidth="1"/>
    <col min="8509" max="8510" width="9.7109375" style="1" customWidth="1"/>
    <col min="8511" max="8511" width="0.7109375" style="1" customWidth="1"/>
    <col min="8512" max="8513" width="9.7109375" style="1" customWidth="1"/>
    <col min="8514" max="8514" width="0.7109375" style="1" customWidth="1"/>
    <col min="8515" max="8516" width="9.7109375" style="1" customWidth="1"/>
    <col min="8517" max="8517" width="0.85546875" style="1" customWidth="1"/>
    <col min="8518" max="8519" width="9.7109375" style="1" customWidth="1"/>
    <col min="8520" max="8520" width="0.85546875" style="1" customWidth="1"/>
    <col min="8521" max="8522" width="9.7109375" style="1" customWidth="1"/>
    <col min="8523" max="8523" width="0.85546875" style="1" customWidth="1"/>
    <col min="8524" max="8707" width="11.42578125" style="1"/>
    <col min="8708" max="8715" width="10.85546875" style="1" customWidth="1"/>
    <col min="8716" max="8716" width="6.42578125" style="1" customWidth="1"/>
    <col min="8717" max="8717" width="0.85546875" style="1" customWidth="1"/>
    <col min="8718" max="8719" width="9.7109375" style="1" customWidth="1"/>
    <col min="8720" max="8720" width="0.85546875" style="1" customWidth="1"/>
    <col min="8721" max="8722" width="9.7109375" style="1" customWidth="1"/>
    <col min="8723" max="8723" width="0.85546875" style="1" customWidth="1"/>
    <col min="8724" max="8725" width="9.7109375" style="1" customWidth="1"/>
    <col min="8726" max="8726" width="0.85546875" style="1" customWidth="1"/>
    <col min="8727" max="8728" width="9.7109375" style="1" customWidth="1"/>
    <col min="8729" max="8729" width="0.85546875" style="1" customWidth="1"/>
    <col min="8730" max="8731" width="9.7109375" style="1" customWidth="1"/>
    <col min="8732" max="8732" width="0.85546875" style="1" customWidth="1"/>
    <col min="8733" max="8734" width="9.7109375" style="1" customWidth="1"/>
    <col min="8735" max="8735" width="0.85546875" style="1" customWidth="1"/>
    <col min="8736" max="8737" width="9.7109375" style="1" customWidth="1"/>
    <col min="8738" max="8738" width="0.85546875" style="1" customWidth="1"/>
    <col min="8739" max="8739" width="6.28515625" style="1" customWidth="1"/>
    <col min="8740" max="8740" width="0.85546875" style="1" customWidth="1"/>
    <col min="8741" max="8741" width="6.28515625" style="1" customWidth="1"/>
    <col min="8742" max="8742" width="0.85546875" style="1" customWidth="1"/>
    <col min="8743" max="8744" width="9.7109375" style="1" customWidth="1"/>
    <col min="8745" max="8745" width="0.85546875" style="1" customWidth="1"/>
    <col min="8746" max="8747" width="9.7109375" style="1" customWidth="1"/>
    <col min="8748" max="8748" width="0.85546875" style="1" customWidth="1"/>
    <col min="8749" max="8749" width="4.42578125" style="1" customWidth="1"/>
    <col min="8750" max="8750" width="0.85546875" style="1" customWidth="1"/>
    <col min="8751" max="8751" width="6.28515625" style="1" customWidth="1"/>
    <col min="8752" max="8752" width="0.85546875" style="1" customWidth="1"/>
    <col min="8753" max="8754" width="9.7109375" style="1" customWidth="1"/>
    <col min="8755" max="8755" width="0.85546875" style="1" customWidth="1"/>
    <col min="8756" max="8757" width="9.7109375" style="1" customWidth="1"/>
    <col min="8758" max="8758" width="0.85546875" style="1" customWidth="1"/>
    <col min="8759" max="8760" width="9.7109375" style="1" customWidth="1"/>
    <col min="8761" max="8761" width="0.85546875" style="1" customWidth="1"/>
    <col min="8762" max="8763" width="9.7109375" style="1" customWidth="1"/>
    <col min="8764" max="8764" width="0.85546875" style="1" customWidth="1"/>
    <col min="8765" max="8766" width="9.7109375" style="1" customWidth="1"/>
    <col min="8767" max="8767" width="0.7109375" style="1" customWidth="1"/>
    <col min="8768" max="8769" width="9.7109375" style="1" customWidth="1"/>
    <col min="8770" max="8770" width="0.7109375" style="1" customWidth="1"/>
    <col min="8771" max="8772" width="9.7109375" style="1" customWidth="1"/>
    <col min="8773" max="8773" width="0.85546875" style="1" customWidth="1"/>
    <col min="8774" max="8775" width="9.7109375" style="1" customWidth="1"/>
    <col min="8776" max="8776" width="0.85546875" style="1" customWidth="1"/>
    <col min="8777" max="8778" width="9.7109375" style="1" customWidth="1"/>
    <col min="8779" max="8779" width="0.85546875" style="1" customWidth="1"/>
    <col min="8780" max="8963" width="11.42578125" style="1"/>
    <col min="8964" max="8971" width="10.85546875" style="1" customWidth="1"/>
    <col min="8972" max="8972" width="6.42578125" style="1" customWidth="1"/>
    <col min="8973" max="8973" width="0.85546875" style="1" customWidth="1"/>
    <col min="8974" max="8975" width="9.7109375" style="1" customWidth="1"/>
    <col min="8976" max="8976" width="0.85546875" style="1" customWidth="1"/>
    <col min="8977" max="8978" width="9.7109375" style="1" customWidth="1"/>
    <col min="8979" max="8979" width="0.85546875" style="1" customWidth="1"/>
    <col min="8980" max="8981" width="9.7109375" style="1" customWidth="1"/>
    <col min="8982" max="8982" width="0.85546875" style="1" customWidth="1"/>
    <col min="8983" max="8984" width="9.7109375" style="1" customWidth="1"/>
    <col min="8985" max="8985" width="0.85546875" style="1" customWidth="1"/>
    <col min="8986" max="8987" width="9.7109375" style="1" customWidth="1"/>
    <col min="8988" max="8988" width="0.85546875" style="1" customWidth="1"/>
    <col min="8989" max="8990" width="9.7109375" style="1" customWidth="1"/>
    <col min="8991" max="8991" width="0.85546875" style="1" customWidth="1"/>
    <col min="8992" max="8993" width="9.7109375" style="1" customWidth="1"/>
    <col min="8994" max="8994" width="0.85546875" style="1" customWidth="1"/>
    <col min="8995" max="8995" width="6.28515625" style="1" customWidth="1"/>
    <col min="8996" max="8996" width="0.85546875" style="1" customWidth="1"/>
    <col min="8997" max="8997" width="6.28515625" style="1" customWidth="1"/>
    <col min="8998" max="8998" width="0.85546875" style="1" customWidth="1"/>
    <col min="8999" max="9000" width="9.7109375" style="1" customWidth="1"/>
    <col min="9001" max="9001" width="0.85546875" style="1" customWidth="1"/>
    <col min="9002" max="9003" width="9.7109375" style="1" customWidth="1"/>
    <col min="9004" max="9004" width="0.85546875" style="1" customWidth="1"/>
    <col min="9005" max="9005" width="4.42578125" style="1" customWidth="1"/>
    <col min="9006" max="9006" width="0.85546875" style="1" customWidth="1"/>
    <col min="9007" max="9007" width="6.28515625" style="1" customWidth="1"/>
    <col min="9008" max="9008" width="0.85546875" style="1" customWidth="1"/>
    <col min="9009" max="9010" width="9.7109375" style="1" customWidth="1"/>
    <col min="9011" max="9011" width="0.85546875" style="1" customWidth="1"/>
    <col min="9012" max="9013" width="9.7109375" style="1" customWidth="1"/>
    <col min="9014" max="9014" width="0.85546875" style="1" customWidth="1"/>
    <col min="9015" max="9016" width="9.7109375" style="1" customWidth="1"/>
    <col min="9017" max="9017" width="0.85546875" style="1" customWidth="1"/>
    <col min="9018" max="9019" width="9.7109375" style="1" customWidth="1"/>
    <col min="9020" max="9020" width="0.85546875" style="1" customWidth="1"/>
    <col min="9021" max="9022" width="9.7109375" style="1" customWidth="1"/>
    <col min="9023" max="9023" width="0.7109375" style="1" customWidth="1"/>
    <col min="9024" max="9025" width="9.7109375" style="1" customWidth="1"/>
    <col min="9026" max="9026" width="0.7109375" style="1" customWidth="1"/>
    <col min="9027" max="9028" width="9.7109375" style="1" customWidth="1"/>
    <col min="9029" max="9029" width="0.85546875" style="1" customWidth="1"/>
    <col min="9030" max="9031" width="9.7109375" style="1" customWidth="1"/>
    <col min="9032" max="9032" width="0.85546875" style="1" customWidth="1"/>
    <col min="9033" max="9034" width="9.7109375" style="1" customWidth="1"/>
    <col min="9035" max="9035" width="0.85546875" style="1" customWidth="1"/>
    <col min="9036" max="9219" width="11.42578125" style="1"/>
    <col min="9220" max="9227" width="10.85546875" style="1" customWidth="1"/>
    <col min="9228" max="9228" width="6.42578125" style="1" customWidth="1"/>
    <col min="9229" max="9229" width="0.85546875" style="1" customWidth="1"/>
    <col min="9230" max="9231" width="9.7109375" style="1" customWidth="1"/>
    <col min="9232" max="9232" width="0.85546875" style="1" customWidth="1"/>
    <col min="9233" max="9234" width="9.7109375" style="1" customWidth="1"/>
    <col min="9235" max="9235" width="0.85546875" style="1" customWidth="1"/>
    <col min="9236" max="9237" width="9.7109375" style="1" customWidth="1"/>
    <col min="9238" max="9238" width="0.85546875" style="1" customWidth="1"/>
    <col min="9239" max="9240" width="9.7109375" style="1" customWidth="1"/>
    <col min="9241" max="9241" width="0.85546875" style="1" customWidth="1"/>
    <col min="9242" max="9243" width="9.7109375" style="1" customWidth="1"/>
    <col min="9244" max="9244" width="0.85546875" style="1" customWidth="1"/>
    <col min="9245" max="9246" width="9.7109375" style="1" customWidth="1"/>
    <col min="9247" max="9247" width="0.85546875" style="1" customWidth="1"/>
    <col min="9248" max="9249" width="9.7109375" style="1" customWidth="1"/>
    <col min="9250" max="9250" width="0.85546875" style="1" customWidth="1"/>
    <col min="9251" max="9251" width="6.28515625" style="1" customWidth="1"/>
    <col min="9252" max="9252" width="0.85546875" style="1" customWidth="1"/>
    <col min="9253" max="9253" width="6.28515625" style="1" customWidth="1"/>
    <col min="9254" max="9254" width="0.85546875" style="1" customWidth="1"/>
    <col min="9255" max="9256" width="9.7109375" style="1" customWidth="1"/>
    <col min="9257" max="9257" width="0.85546875" style="1" customWidth="1"/>
    <col min="9258" max="9259" width="9.7109375" style="1" customWidth="1"/>
    <col min="9260" max="9260" width="0.85546875" style="1" customWidth="1"/>
    <col min="9261" max="9261" width="4.42578125" style="1" customWidth="1"/>
    <col min="9262" max="9262" width="0.85546875" style="1" customWidth="1"/>
    <col min="9263" max="9263" width="6.28515625" style="1" customWidth="1"/>
    <col min="9264" max="9264" width="0.85546875" style="1" customWidth="1"/>
    <col min="9265" max="9266" width="9.7109375" style="1" customWidth="1"/>
    <col min="9267" max="9267" width="0.85546875" style="1" customWidth="1"/>
    <col min="9268" max="9269" width="9.7109375" style="1" customWidth="1"/>
    <col min="9270" max="9270" width="0.85546875" style="1" customWidth="1"/>
    <col min="9271" max="9272" width="9.7109375" style="1" customWidth="1"/>
    <col min="9273" max="9273" width="0.85546875" style="1" customWidth="1"/>
    <col min="9274" max="9275" width="9.7109375" style="1" customWidth="1"/>
    <col min="9276" max="9276" width="0.85546875" style="1" customWidth="1"/>
    <col min="9277" max="9278" width="9.7109375" style="1" customWidth="1"/>
    <col min="9279" max="9279" width="0.7109375" style="1" customWidth="1"/>
    <col min="9280" max="9281" width="9.7109375" style="1" customWidth="1"/>
    <col min="9282" max="9282" width="0.7109375" style="1" customWidth="1"/>
    <col min="9283" max="9284" width="9.7109375" style="1" customWidth="1"/>
    <col min="9285" max="9285" width="0.85546875" style="1" customWidth="1"/>
    <col min="9286" max="9287" width="9.7109375" style="1" customWidth="1"/>
    <col min="9288" max="9288" width="0.85546875" style="1" customWidth="1"/>
    <col min="9289" max="9290" width="9.7109375" style="1" customWidth="1"/>
    <col min="9291" max="9291" width="0.85546875" style="1" customWidth="1"/>
    <col min="9292" max="9475" width="11.42578125" style="1"/>
    <col min="9476" max="9483" width="10.85546875" style="1" customWidth="1"/>
    <col min="9484" max="9484" width="6.42578125" style="1" customWidth="1"/>
    <col min="9485" max="9485" width="0.85546875" style="1" customWidth="1"/>
    <col min="9486" max="9487" width="9.7109375" style="1" customWidth="1"/>
    <col min="9488" max="9488" width="0.85546875" style="1" customWidth="1"/>
    <col min="9489" max="9490" width="9.7109375" style="1" customWidth="1"/>
    <col min="9491" max="9491" width="0.85546875" style="1" customWidth="1"/>
    <col min="9492" max="9493" width="9.7109375" style="1" customWidth="1"/>
    <col min="9494" max="9494" width="0.85546875" style="1" customWidth="1"/>
    <col min="9495" max="9496" width="9.7109375" style="1" customWidth="1"/>
    <col min="9497" max="9497" width="0.85546875" style="1" customWidth="1"/>
    <col min="9498" max="9499" width="9.7109375" style="1" customWidth="1"/>
    <col min="9500" max="9500" width="0.85546875" style="1" customWidth="1"/>
    <col min="9501" max="9502" width="9.7109375" style="1" customWidth="1"/>
    <col min="9503" max="9503" width="0.85546875" style="1" customWidth="1"/>
    <col min="9504" max="9505" width="9.7109375" style="1" customWidth="1"/>
    <col min="9506" max="9506" width="0.85546875" style="1" customWidth="1"/>
    <col min="9507" max="9507" width="6.28515625" style="1" customWidth="1"/>
    <col min="9508" max="9508" width="0.85546875" style="1" customWidth="1"/>
    <col min="9509" max="9509" width="6.28515625" style="1" customWidth="1"/>
    <col min="9510" max="9510" width="0.85546875" style="1" customWidth="1"/>
    <col min="9511" max="9512" width="9.7109375" style="1" customWidth="1"/>
    <col min="9513" max="9513" width="0.85546875" style="1" customWidth="1"/>
    <col min="9514" max="9515" width="9.7109375" style="1" customWidth="1"/>
    <col min="9516" max="9516" width="0.85546875" style="1" customWidth="1"/>
    <col min="9517" max="9517" width="4.42578125" style="1" customWidth="1"/>
    <col min="9518" max="9518" width="0.85546875" style="1" customWidth="1"/>
    <col min="9519" max="9519" width="6.28515625" style="1" customWidth="1"/>
    <col min="9520" max="9520" width="0.85546875" style="1" customWidth="1"/>
    <col min="9521" max="9522" width="9.7109375" style="1" customWidth="1"/>
    <col min="9523" max="9523" width="0.85546875" style="1" customWidth="1"/>
    <col min="9524" max="9525" width="9.7109375" style="1" customWidth="1"/>
    <col min="9526" max="9526" width="0.85546875" style="1" customWidth="1"/>
    <col min="9527" max="9528" width="9.7109375" style="1" customWidth="1"/>
    <col min="9529" max="9529" width="0.85546875" style="1" customWidth="1"/>
    <col min="9530" max="9531" width="9.7109375" style="1" customWidth="1"/>
    <col min="9532" max="9532" width="0.85546875" style="1" customWidth="1"/>
    <col min="9533" max="9534" width="9.7109375" style="1" customWidth="1"/>
    <col min="9535" max="9535" width="0.7109375" style="1" customWidth="1"/>
    <col min="9536" max="9537" width="9.7109375" style="1" customWidth="1"/>
    <col min="9538" max="9538" width="0.7109375" style="1" customWidth="1"/>
    <col min="9539" max="9540" width="9.7109375" style="1" customWidth="1"/>
    <col min="9541" max="9541" width="0.85546875" style="1" customWidth="1"/>
    <col min="9542" max="9543" width="9.7109375" style="1" customWidth="1"/>
    <col min="9544" max="9544" width="0.85546875" style="1" customWidth="1"/>
    <col min="9545" max="9546" width="9.7109375" style="1" customWidth="1"/>
    <col min="9547" max="9547" width="0.85546875" style="1" customWidth="1"/>
    <col min="9548" max="9731" width="11.42578125" style="1"/>
    <col min="9732" max="9739" width="10.85546875" style="1" customWidth="1"/>
    <col min="9740" max="9740" width="6.42578125" style="1" customWidth="1"/>
    <col min="9741" max="9741" width="0.85546875" style="1" customWidth="1"/>
    <col min="9742" max="9743" width="9.7109375" style="1" customWidth="1"/>
    <col min="9744" max="9744" width="0.85546875" style="1" customWidth="1"/>
    <col min="9745" max="9746" width="9.7109375" style="1" customWidth="1"/>
    <col min="9747" max="9747" width="0.85546875" style="1" customWidth="1"/>
    <col min="9748" max="9749" width="9.7109375" style="1" customWidth="1"/>
    <col min="9750" max="9750" width="0.85546875" style="1" customWidth="1"/>
    <col min="9751" max="9752" width="9.7109375" style="1" customWidth="1"/>
    <col min="9753" max="9753" width="0.85546875" style="1" customWidth="1"/>
    <col min="9754" max="9755" width="9.7109375" style="1" customWidth="1"/>
    <col min="9756" max="9756" width="0.85546875" style="1" customWidth="1"/>
    <col min="9757" max="9758" width="9.7109375" style="1" customWidth="1"/>
    <col min="9759" max="9759" width="0.85546875" style="1" customWidth="1"/>
    <col min="9760" max="9761" width="9.7109375" style="1" customWidth="1"/>
    <col min="9762" max="9762" width="0.85546875" style="1" customWidth="1"/>
    <col min="9763" max="9763" width="6.28515625" style="1" customWidth="1"/>
    <col min="9764" max="9764" width="0.85546875" style="1" customWidth="1"/>
    <col min="9765" max="9765" width="6.28515625" style="1" customWidth="1"/>
    <col min="9766" max="9766" width="0.85546875" style="1" customWidth="1"/>
    <col min="9767" max="9768" width="9.7109375" style="1" customWidth="1"/>
    <col min="9769" max="9769" width="0.85546875" style="1" customWidth="1"/>
    <col min="9770" max="9771" width="9.7109375" style="1" customWidth="1"/>
    <col min="9772" max="9772" width="0.85546875" style="1" customWidth="1"/>
    <col min="9773" max="9773" width="4.42578125" style="1" customWidth="1"/>
    <col min="9774" max="9774" width="0.85546875" style="1" customWidth="1"/>
    <col min="9775" max="9775" width="6.28515625" style="1" customWidth="1"/>
    <col min="9776" max="9776" width="0.85546875" style="1" customWidth="1"/>
    <col min="9777" max="9778" width="9.7109375" style="1" customWidth="1"/>
    <col min="9779" max="9779" width="0.85546875" style="1" customWidth="1"/>
    <col min="9780" max="9781" width="9.7109375" style="1" customWidth="1"/>
    <col min="9782" max="9782" width="0.85546875" style="1" customWidth="1"/>
    <col min="9783" max="9784" width="9.7109375" style="1" customWidth="1"/>
    <col min="9785" max="9785" width="0.85546875" style="1" customWidth="1"/>
    <col min="9786" max="9787" width="9.7109375" style="1" customWidth="1"/>
    <col min="9788" max="9788" width="0.85546875" style="1" customWidth="1"/>
    <col min="9789" max="9790" width="9.7109375" style="1" customWidth="1"/>
    <col min="9791" max="9791" width="0.7109375" style="1" customWidth="1"/>
    <col min="9792" max="9793" width="9.7109375" style="1" customWidth="1"/>
    <col min="9794" max="9794" width="0.7109375" style="1" customWidth="1"/>
    <col min="9795" max="9796" width="9.7109375" style="1" customWidth="1"/>
    <col min="9797" max="9797" width="0.85546875" style="1" customWidth="1"/>
    <col min="9798" max="9799" width="9.7109375" style="1" customWidth="1"/>
    <col min="9800" max="9800" width="0.85546875" style="1" customWidth="1"/>
    <col min="9801" max="9802" width="9.7109375" style="1" customWidth="1"/>
    <col min="9803" max="9803" width="0.85546875" style="1" customWidth="1"/>
    <col min="9804" max="9987" width="11.42578125" style="1"/>
    <col min="9988" max="9995" width="10.85546875" style="1" customWidth="1"/>
    <col min="9996" max="9996" width="6.42578125" style="1" customWidth="1"/>
    <col min="9997" max="9997" width="0.85546875" style="1" customWidth="1"/>
    <col min="9998" max="9999" width="9.7109375" style="1" customWidth="1"/>
    <col min="10000" max="10000" width="0.85546875" style="1" customWidth="1"/>
    <col min="10001" max="10002" width="9.7109375" style="1" customWidth="1"/>
    <col min="10003" max="10003" width="0.85546875" style="1" customWidth="1"/>
    <col min="10004" max="10005" width="9.7109375" style="1" customWidth="1"/>
    <col min="10006" max="10006" width="0.85546875" style="1" customWidth="1"/>
    <col min="10007" max="10008" width="9.7109375" style="1" customWidth="1"/>
    <col min="10009" max="10009" width="0.85546875" style="1" customWidth="1"/>
    <col min="10010" max="10011" width="9.7109375" style="1" customWidth="1"/>
    <col min="10012" max="10012" width="0.85546875" style="1" customWidth="1"/>
    <col min="10013" max="10014" width="9.7109375" style="1" customWidth="1"/>
    <col min="10015" max="10015" width="0.85546875" style="1" customWidth="1"/>
    <col min="10016" max="10017" width="9.7109375" style="1" customWidth="1"/>
    <col min="10018" max="10018" width="0.85546875" style="1" customWidth="1"/>
    <col min="10019" max="10019" width="6.28515625" style="1" customWidth="1"/>
    <col min="10020" max="10020" width="0.85546875" style="1" customWidth="1"/>
    <col min="10021" max="10021" width="6.28515625" style="1" customWidth="1"/>
    <col min="10022" max="10022" width="0.85546875" style="1" customWidth="1"/>
    <col min="10023" max="10024" width="9.7109375" style="1" customWidth="1"/>
    <col min="10025" max="10025" width="0.85546875" style="1" customWidth="1"/>
    <col min="10026" max="10027" width="9.7109375" style="1" customWidth="1"/>
    <col min="10028" max="10028" width="0.85546875" style="1" customWidth="1"/>
    <col min="10029" max="10029" width="4.42578125" style="1" customWidth="1"/>
    <col min="10030" max="10030" width="0.85546875" style="1" customWidth="1"/>
    <col min="10031" max="10031" width="6.28515625" style="1" customWidth="1"/>
    <col min="10032" max="10032" width="0.85546875" style="1" customWidth="1"/>
    <col min="10033" max="10034" width="9.7109375" style="1" customWidth="1"/>
    <col min="10035" max="10035" width="0.85546875" style="1" customWidth="1"/>
    <col min="10036" max="10037" width="9.7109375" style="1" customWidth="1"/>
    <col min="10038" max="10038" width="0.85546875" style="1" customWidth="1"/>
    <col min="10039" max="10040" width="9.7109375" style="1" customWidth="1"/>
    <col min="10041" max="10041" width="0.85546875" style="1" customWidth="1"/>
    <col min="10042" max="10043" width="9.7109375" style="1" customWidth="1"/>
    <col min="10044" max="10044" width="0.85546875" style="1" customWidth="1"/>
    <col min="10045" max="10046" width="9.7109375" style="1" customWidth="1"/>
    <col min="10047" max="10047" width="0.7109375" style="1" customWidth="1"/>
    <col min="10048" max="10049" width="9.7109375" style="1" customWidth="1"/>
    <col min="10050" max="10050" width="0.7109375" style="1" customWidth="1"/>
    <col min="10051" max="10052" width="9.7109375" style="1" customWidth="1"/>
    <col min="10053" max="10053" width="0.85546875" style="1" customWidth="1"/>
    <col min="10054" max="10055" width="9.7109375" style="1" customWidth="1"/>
    <col min="10056" max="10056" width="0.85546875" style="1" customWidth="1"/>
    <col min="10057" max="10058" width="9.7109375" style="1" customWidth="1"/>
    <col min="10059" max="10059" width="0.85546875" style="1" customWidth="1"/>
    <col min="10060" max="10243" width="11.42578125" style="1"/>
    <col min="10244" max="10251" width="10.85546875" style="1" customWidth="1"/>
    <col min="10252" max="10252" width="6.42578125" style="1" customWidth="1"/>
    <col min="10253" max="10253" width="0.85546875" style="1" customWidth="1"/>
    <col min="10254" max="10255" width="9.7109375" style="1" customWidth="1"/>
    <col min="10256" max="10256" width="0.85546875" style="1" customWidth="1"/>
    <col min="10257" max="10258" width="9.7109375" style="1" customWidth="1"/>
    <col min="10259" max="10259" width="0.85546875" style="1" customWidth="1"/>
    <col min="10260" max="10261" width="9.7109375" style="1" customWidth="1"/>
    <col min="10262" max="10262" width="0.85546875" style="1" customWidth="1"/>
    <col min="10263" max="10264" width="9.7109375" style="1" customWidth="1"/>
    <col min="10265" max="10265" width="0.85546875" style="1" customWidth="1"/>
    <col min="10266" max="10267" width="9.7109375" style="1" customWidth="1"/>
    <col min="10268" max="10268" width="0.85546875" style="1" customWidth="1"/>
    <col min="10269" max="10270" width="9.7109375" style="1" customWidth="1"/>
    <col min="10271" max="10271" width="0.85546875" style="1" customWidth="1"/>
    <col min="10272" max="10273" width="9.7109375" style="1" customWidth="1"/>
    <col min="10274" max="10274" width="0.85546875" style="1" customWidth="1"/>
    <col min="10275" max="10275" width="6.28515625" style="1" customWidth="1"/>
    <col min="10276" max="10276" width="0.85546875" style="1" customWidth="1"/>
    <col min="10277" max="10277" width="6.28515625" style="1" customWidth="1"/>
    <col min="10278" max="10278" width="0.85546875" style="1" customWidth="1"/>
    <col min="10279" max="10280" width="9.7109375" style="1" customWidth="1"/>
    <col min="10281" max="10281" width="0.85546875" style="1" customWidth="1"/>
    <col min="10282" max="10283" width="9.7109375" style="1" customWidth="1"/>
    <col min="10284" max="10284" width="0.85546875" style="1" customWidth="1"/>
    <col min="10285" max="10285" width="4.42578125" style="1" customWidth="1"/>
    <col min="10286" max="10286" width="0.85546875" style="1" customWidth="1"/>
    <col min="10287" max="10287" width="6.28515625" style="1" customWidth="1"/>
    <col min="10288" max="10288" width="0.85546875" style="1" customWidth="1"/>
    <col min="10289" max="10290" width="9.7109375" style="1" customWidth="1"/>
    <col min="10291" max="10291" width="0.85546875" style="1" customWidth="1"/>
    <col min="10292" max="10293" width="9.7109375" style="1" customWidth="1"/>
    <col min="10294" max="10294" width="0.85546875" style="1" customWidth="1"/>
    <col min="10295" max="10296" width="9.7109375" style="1" customWidth="1"/>
    <col min="10297" max="10297" width="0.85546875" style="1" customWidth="1"/>
    <col min="10298" max="10299" width="9.7109375" style="1" customWidth="1"/>
    <col min="10300" max="10300" width="0.85546875" style="1" customWidth="1"/>
    <col min="10301" max="10302" width="9.7109375" style="1" customWidth="1"/>
    <col min="10303" max="10303" width="0.7109375" style="1" customWidth="1"/>
    <col min="10304" max="10305" width="9.7109375" style="1" customWidth="1"/>
    <col min="10306" max="10306" width="0.7109375" style="1" customWidth="1"/>
    <col min="10307" max="10308" width="9.7109375" style="1" customWidth="1"/>
    <col min="10309" max="10309" width="0.85546875" style="1" customWidth="1"/>
    <col min="10310" max="10311" width="9.7109375" style="1" customWidth="1"/>
    <col min="10312" max="10312" width="0.85546875" style="1" customWidth="1"/>
    <col min="10313" max="10314" width="9.7109375" style="1" customWidth="1"/>
    <col min="10315" max="10315" width="0.85546875" style="1" customWidth="1"/>
    <col min="10316" max="10499" width="11.42578125" style="1"/>
    <col min="10500" max="10507" width="10.85546875" style="1" customWidth="1"/>
    <col min="10508" max="10508" width="6.42578125" style="1" customWidth="1"/>
    <col min="10509" max="10509" width="0.85546875" style="1" customWidth="1"/>
    <col min="10510" max="10511" width="9.7109375" style="1" customWidth="1"/>
    <col min="10512" max="10512" width="0.85546875" style="1" customWidth="1"/>
    <col min="10513" max="10514" width="9.7109375" style="1" customWidth="1"/>
    <col min="10515" max="10515" width="0.85546875" style="1" customWidth="1"/>
    <col min="10516" max="10517" width="9.7109375" style="1" customWidth="1"/>
    <col min="10518" max="10518" width="0.85546875" style="1" customWidth="1"/>
    <col min="10519" max="10520" width="9.7109375" style="1" customWidth="1"/>
    <col min="10521" max="10521" width="0.85546875" style="1" customWidth="1"/>
    <col min="10522" max="10523" width="9.7109375" style="1" customWidth="1"/>
    <col min="10524" max="10524" width="0.85546875" style="1" customWidth="1"/>
    <col min="10525" max="10526" width="9.7109375" style="1" customWidth="1"/>
    <col min="10527" max="10527" width="0.85546875" style="1" customWidth="1"/>
    <col min="10528" max="10529" width="9.7109375" style="1" customWidth="1"/>
    <col min="10530" max="10530" width="0.85546875" style="1" customWidth="1"/>
    <col min="10531" max="10531" width="6.28515625" style="1" customWidth="1"/>
    <col min="10532" max="10532" width="0.85546875" style="1" customWidth="1"/>
    <col min="10533" max="10533" width="6.28515625" style="1" customWidth="1"/>
    <col min="10534" max="10534" width="0.85546875" style="1" customWidth="1"/>
    <col min="10535" max="10536" width="9.7109375" style="1" customWidth="1"/>
    <col min="10537" max="10537" width="0.85546875" style="1" customWidth="1"/>
    <col min="10538" max="10539" width="9.7109375" style="1" customWidth="1"/>
    <col min="10540" max="10540" width="0.85546875" style="1" customWidth="1"/>
    <col min="10541" max="10541" width="4.42578125" style="1" customWidth="1"/>
    <col min="10542" max="10542" width="0.85546875" style="1" customWidth="1"/>
    <col min="10543" max="10543" width="6.28515625" style="1" customWidth="1"/>
    <col min="10544" max="10544" width="0.85546875" style="1" customWidth="1"/>
    <col min="10545" max="10546" width="9.7109375" style="1" customWidth="1"/>
    <col min="10547" max="10547" width="0.85546875" style="1" customWidth="1"/>
    <col min="10548" max="10549" width="9.7109375" style="1" customWidth="1"/>
    <col min="10550" max="10550" width="0.85546875" style="1" customWidth="1"/>
    <col min="10551" max="10552" width="9.7109375" style="1" customWidth="1"/>
    <col min="10553" max="10553" width="0.85546875" style="1" customWidth="1"/>
    <col min="10554" max="10555" width="9.7109375" style="1" customWidth="1"/>
    <col min="10556" max="10556" width="0.85546875" style="1" customWidth="1"/>
    <col min="10557" max="10558" width="9.7109375" style="1" customWidth="1"/>
    <col min="10559" max="10559" width="0.7109375" style="1" customWidth="1"/>
    <col min="10560" max="10561" width="9.7109375" style="1" customWidth="1"/>
    <col min="10562" max="10562" width="0.7109375" style="1" customWidth="1"/>
    <col min="10563" max="10564" width="9.7109375" style="1" customWidth="1"/>
    <col min="10565" max="10565" width="0.85546875" style="1" customWidth="1"/>
    <col min="10566" max="10567" width="9.7109375" style="1" customWidth="1"/>
    <col min="10568" max="10568" width="0.85546875" style="1" customWidth="1"/>
    <col min="10569" max="10570" width="9.7109375" style="1" customWidth="1"/>
    <col min="10571" max="10571" width="0.85546875" style="1" customWidth="1"/>
    <col min="10572" max="10755" width="11.42578125" style="1"/>
    <col min="10756" max="10763" width="10.85546875" style="1" customWidth="1"/>
    <col min="10764" max="10764" width="6.42578125" style="1" customWidth="1"/>
    <col min="10765" max="10765" width="0.85546875" style="1" customWidth="1"/>
    <col min="10766" max="10767" width="9.7109375" style="1" customWidth="1"/>
    <col min="10768" max="10768" width="0.85546875" style="1" customWidth="1"/>
    <col min="10769" max="10770" width="9.7109375" style="1" customWidth="1"/>
    <col min="10771" max="10771" width="0.85546875" style="1" customWidth="1"/>
    <col min="10772" max="10773" width="9.7109375" style="1" customWidth="1"/>
    <col min="10774" max="10774" width="0.85546875" style="1" customWidth="1"/>
    <col min="10775" max="10776" width="9.7109375" style="1" customWidth="1"/>
    <col min="10777" max="10777" width="0.85546875" style="1" customWidth="1"/>
    <col min="10778" max="10779" width="9.7109375" style="1" customWidth="1"/>
    <col min="10780" max="10780" width="0.85546875" style="1" customWidth="1"/>
    <col min="10781" max="10782" width="9.7109375" style="1" customWidth="1"/>
    <col min="10783" max="10783" width="0.85546875" style="1" customWidth="1"/>
    <col min="10784" max="10785" width="9.7109375" style="1" customWidth="1"/>
    <col min="10786" max="10786" width="0.85546875" style="1" customWidth="1"/>
    <col min="10787" max="10787" width="6.28515625" style="1" customWidth="1"/>
    <col min="10788" max="10788" width="0.85546875" style="1" customWidth="1"/>
    <col min="10789" max="10789" width="6.28515625" style="1" customWidth="1"/>
    <col min="10790" max="10790" width="0.85546875" style="1" customWidth="1"/>
    <col min="10791" max="10792" width="9.7109375" style="1" customWidth="1"/>
    <col min="10793" max="10793" width="0.85546875" style="1" customWidth="1"/>
    <col min="10794" max="10795" width="9.7109375" style="1" customWidth="1"/>
    <col min="10796" max="10796" width="0.85546875" style="1" customWidth="1"/>
    <col min="10797" max="10797" width="4.42578125" style="1" customWidth="1"/>
    <col min="10798" max="10798" width="0.85546875" style="1" customWidth="1"/>
    <col min="10799" max="10799" width="6.28515625" style="1" customWidth="1"/>
    <col min="10800" max="10800" width="0.85546875" style="1" customWidth="1"/>
    <col min="10801" max="10802" width="9.7109375" style="1" customWidth="1"/>
    <col min="10803" max="10803" width="0.85546875" style="1" customWidth="1"/>
    <col min="10804" max="10805" width="9.7109375" style="1" customWidth="1"/>
    <col min="10806" max="10806" width="0.85546875" style="1" customWidth="1"/>
    <col min="10807" max="10808" width="9.7109375" style="1" customWidth="1"/>
    <col min="10809" max="10809" width="0.85546875" style="1" customWidth="1"/>
    <col min="10810" max="10811" width="9.7109375" style="1" customWidth="1"/>
    <col min="10812" max="10812" width="0.85546875" style="1" customWidth="1"/>
    <col min="10813" max="10814" width="9.7109375" style="1" customWidth="1"/>
    <col min="10815" max="10815" width="0.7109375" style="1" customWidth="1"/>
    <col min="10816" max="10817" width="9.7109375" style="1" customWidth="1"/>
    <col min="10818" max="10818" width="0.7109375" style="1" customWidth="1"/>
    <col min="10819" max="10820" width="9.7109375" style="1" customWidth="1"/>
    <col min="10821" max="10821" width="0.85546875" style="1" customWidth="1"/>
    <col min="10822" max="10823" width="9.7109375" style="1" customWidth="1"/>
    <col min="10824" max="10824" width="0.85546875" style="1" customWidth="1"/>
    <col min="10825" max="10826" width="9.7109375" style="1" customWidth="1"/>
    <col min="10827" max="10827" width="0.85546875" style="1" customWidth="1"/>
    <col min="10828" max="11011" width="11.42578125" style="1"/>
    <col min="11012" max="11019" width="10.85546875" style="1" customWidth="1"/>
    <col min="11020" max="11020" width="6.42578125" style="1" customWidth="1"/>
    <col min="11021" max="11021" width="0.85546875" style="1" customWidth="1"/>
    <col min="11022" max="11023" width="9.7109375" style="1" customWidth="1"/>
    <col min="11024" max="11024" width="0.85546875" style="1" customWidth="1"/>
    <col min="11025" max="11026" width="9.7109375" style="1" customWidth="1"/>
    <col min="11027" max="11027" width="0.85546875" style="1" customWidth="1"/>
    <col min="11028" max="11029" width="9.7109375" style="1" customWidth="1"/>
    <col min="11030" max="11030" width="0.85546875" style="1" customWidth="1"/>
    <col min="11031" max="11032" width="9.7109375" style="1" customWidth="1"/>
    <col min="11033" max="11033" width="0.85546875" style="1" customWidth="1"/>
    <col min="11034" max="11035" width="9.7109375" style="1" customWidth="1"/>
    <col min="11036" max="11036" width="0.85546875" style="1" customWidth="1"/>
    <col min="11037" max="11038" width="9.7109375" style="1" customWidth="1"/>
    <col min="11039" max="11039" width="0.85546875" style="1" customWidth="1"/>
    <col min="11040" max="11041" width="9.7109375" style="1" customWidth="1"/>
    <col min="11042" max="11042" width="0.85546875" style="1" customWidth="1"/>
    <col min="11043" max="11043" width="6.28515625" style="1" customWidth="1"/>
    <col min="11044" max="11044" width="0.85546875" style="1" customWidth="1"/>
    <col min="11045" max="11045" width="6.28515625" style="1" customWidth="1"/>
    <col min="11046" max="11046" width="0.85546875" style="1" customWidth="1"/>
    <col min="11047" max="11048" width="9.7109375" style="1" customWidth="1"/>
    <col min="11049" max="11049" width="0.85546875" style="1" customWidth="1"/>
    <col min="11050" max="11051" width="9.7109375" style="1" customWidth="1"/>
    <col min="11052" max="11052" width="0.85546875" style="1" customWidth="1"/>
    <col min="11053" max="11053" width="4.42578125" style="1" customWidth="1"/>
    <col min="11054" max="11054" width="0.85546875" style="1" customWidth="1"/>
    <col min="11055" max="11055" width="6.28515625" style="1" customWidth="1"/>
    <col min="11056" max="11056" width="0.85546875" style="1" customWidth="1"/>
    <col min="11057" max="11058" width="9.7109375" style="1" customWidth="1"/>
    <col min="11059" max="11059" width="0.85546875" style="1" customWidth="1"/>
    <col min="11060" max="11061" width="9.7109375" style="1" customWidth="1"/>
    <col min="11062" max="11062" width="0.85546875" style="1" customWidth="1"/>
    <col min="11063" max="11064" width="9.7109375" style="1" customWidth="1"/>
    <col min="11065" max="11065" width="0.85546875" style="1" customWidth="1"/>
    <col min="11066" max="11067" width="9.7109375" style="1" customWidth="1"/>
    <col min="11068" max="11068" width="0.85546875" style="1" customWidth="1"/>
    <col min="11069" max="11070" width="9.7109375" style="1" customWidth="1"/>
    <col min="11071" max="11071" width="0.7109375" style="1" customWidth="1"/>
    <col min="11072" max="11073" width="9.7109375" style="1" customWidth="1"/>
    <col min="11074" max="11074" width="0.7109375" style="1" customWidth="1"/>
    <col min="11075" max="11076" width="9.7109375" style="1" customWidth="1"/>
    <col min="11077" max="11077" width="0.85546875" style="1" customWidth="1"/>
    <col min="11078" max="11079" width="9.7109375" style="1" customWidth="1"/>
    <col min="11080" max="11080" width="0.85546875" style="1" customWidth="1"/>
    <col min="11081" max="11082" width="9.7109375" style="1" customWidth="1"/>
    <col min="11083" max="11083" width="0.85546875" style="1" customWidth="1"/>
    <col min="11084" max="11267" width="11.42578125" style="1"/>
    <col min="11268" max="11275" width="10.85546875" style="1" customWidth="1"/>
    <col min="11276" max="11276" width="6.42578125" style="1" customWidth="1"/>
    <col min="11277" max="11277" width="0.85546875" style="1" customWidth="1"/>
    <col min="11278" max="11279" width="9.7109375" style="1" customWidth="1"/>
    <col min="11280" max="11280" width="0.85546875" style="1" customWidth="1"/>
    <col min="11281" max="11282" width="9.7109375" style="1" customWidth="1"/>
    <col min="11283" max="11283" width="0.85546875" style="1" customWidth="1"/>
    <col min="11284" max="11285" width="9.7109375" style="1" customWidth="1"/>
    <col min="11286" max="11286" width="0.85546875" style="1" customWidth="1"/>
    <col min="11287" max="11288" width="9.7109375" style="1" customWidth="1"/>
    <col min="11289" max="11289" width="0.85546875" style="1" customWidth="1"/>
    <col min="11290" max="11291" width="9.7109375" style="1" customWidth="1"/>
    <col min="11292" max="11292" width="0.85546875" style="1" customWidth="1"/>
    <col min="11293" max="11294" width="9.7109375" style="1" customWidth="1"/>
    <col min="11295" max="11295" width="0.85546875" style="1" customWidth="1"/>
    <col min="11296" max="11297" width="9.7109375" style="1" customWidth="1"/>
    <col min="11298" max="11298" width="0.85546875" style="1" customWidth="1"/>
    <col min="11299" max="11299" width="6.28515625" style="1" customWidth="1"/>
    <col min="11300" max="11300" width="0.85546875" style="1" customWidth="1"/>
    <col min="11301" max="11301" width="6.28515625" style="1" customWidth="1"/>
    <col min="11302" max="11302" width="0.85546875" style="1" customWidth="1"/>
    <col min="11303" max="11304" width="9.7109375" style="1" customWidth="1"/>
    <col min="11305" max="11305" width="0.85546875" style="1" customWidth="1"/>
    <col min="11306" max="11307" width="9.7109375" style="1" customWidth="1"/>
    <col min="11308" max="11308" width="0.85546875" style="1" customWidth="1"/>
    <col min="11309" max="11309" width="4.42578125" style="1" customWidth="1"/>
    <col min="11310" max="11310" width="0.85546875" style="1" customWidth="1"/>
    <col min="11311" max="11311" width="6.28515625" style="1" customWidth="1"/>
    <col min="11312" max="11312" width="0.85546875" style="1" customWidth="1"/>
    <col min="11313" max="11314" width="9.7109375" style="1" customWidth="1"/>
    <col min="11315" max="11315" width="0.85546875" style="1" customWidth="1"/>
    <col min="11316" max="11317" width="9.7109375" style="1" customWidth="1"/>
    <col min="11318" max="11318" width="0.85546875" style="1" customWidth="1"/>
    <col min="11319" max="11320" width="9.7109375" style="1" customWidth="1"/>
    <col min="11321" max="11321" width="0.85546875" style="1" customWidth="1"/>
    <col min="11322" max="11323" width="9.7109375" style="1" customWidth="1"/>
    <col min="11324" max="11324" width="0.85546875" style="1" customWidth="1"/>
    <col min="11325" max="11326" width="9.7109375" style="1" customWidth="1"/>
    <col min="11327" max="11327" width="0.7109375" style="1" customWidth="1"/>
    <col min="11328" max="11329" width="9.7109375" style="1" customWidth="1"/>
    <col min="11330" max="11330" width="0.7109375" style="1" customWidth="1"/>
    <col min="11331" max="11332" width="9.7109375" style="1" customWidth="1"/>
    <col min="11333" max="11333" width="0.85546875" style="1" customWidth="1"/>
    <col min="11334" max="11335" width="9.7109375" style="1" customWidth="1"/>
    <col min="11336" max="11336" width="0.85546875" style="1" customWidth="1"/>
    <col min="11337" max="11338" width="9.7109375" style="1" customWidth="1"/>
    <col min="11339" max="11339" width="0.85546875" style="1" customWidth="1"/>
    <col min="11340" max="11523" width="11.42578125" style="1"/>
    <col min="11524" max="11531" width="10.85546875" style="1" customWidth="1"/>
    <col min="11532" max="11532" width="6.42578125" style="1" customWidth="1"/>
    <col min="11533" max="11533" width="0.85546875" style="1" customWidth="1"/>
    <col min="11534" max="11535" width="9.7109375" style="1" customWidth="1"/>
    <col min="11536" max="11536" width="0.85546875" style="1" customWidth="1"/>
    <col min="11537" max="11538" width="9.7109375" style="1" customWidth="1"/>
    <col min="11539" max="11539" width="0.85546875" style="1" customWidth="1"/>
    <col min="11540" max="11541" width="9.7109375" style="1" customWidth="1"/>
    <col min="11542" max="11542" width="0.85546875" style="1" customWidth="1"/>
    <col min="11543" max="11544" width="9.7109375" style="1" customWidth="1"/>
    <col min="11545" max="11545" width="0.85546875" style="1" customWidth="1"/>
    <col min="11546" max="11547" width="9.7109375" style="1" customWidth="1"/>
    <col min="11548" max="11548" width="0.85546875" style="1" customWidth="1"/>
    <col min="11549" max="11550" width="9.7109375" style="1" customWidth="1"/>
    <col min="11551" max="11551" width="0.85546875" style="1" customWidth="1"/>
    <col min="11552" max="11553" width="9.7109375" style="1" customWidth="1"/>
    <col min="11554" max="11554" width="0.85546875" style="1" customWidth="1"/>
    <col min="11555" max="11555" width="6.28515625" style="1" customWidth="1"/>
    <col min="11556" max="11556" width="0.85546875" style="1" customWidth="1"/>
    <col min="11557" max="11557" width="6.28515625" style="1" customWidth="1"/>
    <col min="11558" max="11558" width="0.85546875" style="1" customWidth="1"/>
    <col min="11559" max="11560" width="9.7109375" style="1" customWidth="1"/>
    <col min="11561" max="11561" width="0.85546875" style="1" customWidth="1"/>
    <col min="11562" max="11563" width="9.7109375" style="1" customWidth="1"/>
    <col min="11564" max="11564" width="0.85546875" style="1" customWidth="1"/>
    <col min="11565" max="11565" width="4.42578125" style="1" customWidth="1"/>
    <col min="11566" max="11566" width="0.85546875" style="1" customWidth="1"/>
    <col min="11567" max="11567" width="6.28515625" style="1" customWidth="1"/>
    <col min="11568" max="11568" width="0.85546875" style="1" customWidth="1"/>
    <col min="11569" max="11570" width="9.7109375" style="1" customWidth="1"/>
    <col min="11571" max="11571" width="0.85546875" style="1" customWidth="1"/>
    <col min="11572" max="11573" width="9.7109375" style="1" customWidth="1"/>
    <col min="11574" max="11574" width="0.85546875" style="1" customWidth="1"/>
    <col min="11575" max="11576" width="9.7109375" style="1" customWidth="1"/>
    <col min="11577" max="11577" width="0.85546875" style="1" customWidth="1"/>
    <col min="11578" max="11579" width="9.7109375" style="1" customWidth="1"/>
    <col min="11580" max="11580" width="0.85546875" style="1" customWidth="1"/>
    <col min="11581" max="11582" width="9.7109375" style="1" customWidth="1"/>
    <col min="11583" max="11583" width="0.7109375" style="1" customWidth="1"/>
    <col min="11584" max="11585" width="9.7109375" style="1" customWidth="1"/>
    <col min="11586" max="11586" width="0.7109375" style="1" customWidth="1"/>
    <col min="11587" max="11588" width="9.7109375" style="1" customWidth="1"/>
    <col min="11589" max="11589" width="0.85546875" style="1" customWidth="1"/>
    <col min="11590" max="11591" width="9.7109375" style="1" customWidth="1"/>
    <col min="11592" max="11592" width="0.85546875" style="1" customWidth="1"/>
    <col min="11593" max="11594" width="9.7109375" style="1" customWidth="1"/>
    <col min="11595" max="11595" width="0.85546875" style="1" customWidth="1"/>
    <col min="11596" max="11779" width="11.42578125" style="1"/>
    <col min="11780" max="11787" width="10.85546875" style="1" customWidth="1"/>
    <col min="11788" max="11788" width="6.42578125" style="1" customWidth="1"/>
    <col min="11789" max="11789" width="0.85546875" style="1" customWidth="1"/>
    <col min="11790" max="11791" width="9.7109375" style="1" customWidth="1"/>
    <col min="11792" max="11792" width="0.85546875" style="1" customWidth="1"/>
    <col min="11793" max="11794" width="9.7109375" style="1" customWidth="1"/>
    <col min="11795" max="11795" width="0.85546875" style="1" customWidth="1"/>
    <col min="11796" max="11797" width="9.7109375" style="1" customWidth="1"/>
    <col min="11798" max="11798" width="0.85546875" style="1" customWidth="1"/>
    <col min="11799" max="11800" width="9.7109375" style="1" customWidth="1"/>
    <col min="11801" max="11801" width="0.85546875" style="1" customWidth="1"/>
    <col min="11802" max="11803" width="9.7109375" style="1" customWidth="1"/>
    <col min="11804" max="11804" width="0.85546875" style="1" customWidth="1"/>
    <col min="11805" max="11806" width="9.7109375" style="1" customWidth="1"/>
    <col min="11807" max="11807" width="0.85546875" style="1" customWidth="1"/>
    <col min="11808" max="11809" width="9.7109375" style="1" customWidth="1"/>
    <col min="11810" max="11810" width="0.85546875" style="1" customWidth="1"/>
    <col min="11811" max="11811" width="6.28515625" style="1" customWidth="1"/>
    <col min="11812" max="11812" width="0.85546875" style="1" customWidth="1"/>
    <col min="11813" max="11813" width="6.28515625" style="1" customWidth="1"/>
    <col min="11814" max="11814" width="0.85546875" style="1" customWidth="1"/>
    <col min="11815" max="11816" width="9.7109375" style="1" customWidth="1"/>
    <col min="11817" max="11817" width="0.85546875" style="1" customWidth="1"/>
    <col min="11818" max="11819" width="9.7109375" style="1" customWidth="1"/>
    <col min="11820" max="11820" width="0.85546875" style="1" customWidth="1"/>
    <col min="11821" max="11821" width="4.42578125" style="1" customWidth="1"/>
    <col min="11822" max="11822" width="0.85546875" style="1" customWidth="1"/>
    <col min="11823" max="11823" width="6.28515625" style="1" customWidth="1"/>
    <col min="11824" max="11824" width="0.85546875" style="1" customWidth="1"/>
    <col min="11825" max="11826" width="9.7109375" style="1" customWidth="1"/>
    <col min="11827" max="11827" width="0.85546875" style="1" customWidth="1"/>
    <col min="11828" max="11829" width="9.7109375" style="1" customWidth="1"/>
    <col min="11830" max="11830" width="0.85546875" style="1" customWidth="1"/>
    <col min="11831" max="11832" width="9.7109375" style="1" customWidth="1"/>
    <col min="11833" max="11833" width="0.85546875" style="1" customWidth="1"/>
    <col min="11834" max="11835" width="9.7109375" style="1" customWidth="1"/>
    <col min="11836" max="11836" width="0.85546875" style="1" customWidth="1"/>
    <col min="11837" max="11838" width="9.7109375" style="1" customWidth="1"/>
    <col min="11839" max="11839" width="0.7109375" style="1" customWidth="1"/>
    <col min="11840" max="11841" width="9.7109375" style="1" customWidth="1"/>
    <col min="11842" max="11842" width="0.7109375" style="1" customWidth="1"/>
    <col min="11843" max="11844" width="9.7109375" style="1" customWidth="1"/>
    <col min="11845" max="11845" width="0.85546875" style="1" customWidth="1"/>
    <col min="11846" max="11847" width="9.7109375" style="1" customWidth="1"/>
    <col min="11848" max="11848" width="0.85546875" style="1" customWidth="1"/>
    <col min="11849" max="11850" width="9.7109375" style="1" customWidth="1"/>
    <col min="11851" max="11851" width="0.85546875" style="1" customWidth="1"/>
    <col min="11852" max="12035" width="11.42578125" style="1"/>
    <col min="12036" max="12043" width="10.85546875" style="1" customWidth="1"/>
    <col min="12044" max="12044" width="6.42578125" style="1" customWidth="1"/>
    <col min="12045" max="12045" width="0.85546875" style="1" customWidth="1"/>
    <col min="12046" max="12047" width="9.7109375" style="1" customWidth="1"/>
    <col min="12048" max="12048" width="0.85546875" style="1" customWidth="1"/>
    <col min="12049" max="12050" width="9.7109375" style="1" customWidth="1"/>
    <col min="12051" max="12051" width="0.85546875" style="1" customWidth="1"/>
    <col min="12052" max="12053" width="9.7109375" style="1" customWidth="1"/>
    <col min="12054" max="12054" width="0.85546875" style="1" customWidth="1"/>
    <col min="12055" max="12056" width="9.7109375" style="1" customWidth="1"/>
    <col min="12057" max="12057" width="0.85546875" style="1" customWidth="1"/>
    <col min="12058" max="12059" width="9.7109375" style="1" customWidth="1"/>
    <col min="12060" max="12060" width="0.85546875" style="1" customWidth="1"/>
    <col min="12061" max="12062" width="9.7109375" style="1" customWidth="1"/>
    <col min="12063" max="12063" width="0.85546875" style="1" customWidth="1"/>
    <col min="12064" max="12065" width="9.7109375" style="1" customWidth="1"/>
    <col min="12066" max="12066" width="0.85546875" style="1" customWidth="1"/>
    <col min="12067" max="12067" width="6.28515625" style="1" customWidth="1"/>
    <col min="12068" max="12068" width="0.85546875" style="1" customWidth="1"/>
    <col min="12069" max="12069" width="6.28515625" style="1" customWidth="1"/>
    <col min="12070" max="12070" width="0.85546875" style="1" customWidth="1"/>
    <col min="12071" max="12072" width="9.7109375" style="1" customWidth="1"/>
    <col min="12073" max="12073" width="0.85546875" style="1" customWidth="1"/>
    <col min="12074" max="12075" width="9.7109375" style="1" customWidth="1"/>
    <col min="12076" max="12076" width="0.85546875" style="1" customWidth="1"/>
    <col min="12077" max="12077" width="4.42578125" style="1" customWidth="1"/>
    <col min="12078" max="12078" width="0.85546875" style="1" customWidth="1"/>
    <col min="12079" max="12079" width="6.28515625" style="1" customWidth="1"/>
    <col min="12080" max="12080" width="0.85546875" style="1" customWidth="1"/>
    <col min="12081" max="12082" width="9.7109375" style="1" customWidth="1"/>
    <col min="12083" max="12083" width="0.85546875" style="1" customWidth="1"/>
    <col min="12084" max="12085" width="9.7109375" style="1" customWidth="1"/>
    <col min="12086" max="12086" width="0.85546875" style="1" customWidth="1"/>
    <col min="12087" max="12088" width="9.7109375" style="1" customWidth="1"/>
    <col min="12089" max="12089" width="0.85546875" style="1" customWidth="1"/>
    <col min="12090" max="12091" width="9.7109375" style="1" customWidth="1"/>
    <col min="12092" max="12092" width="0.85546875" style="1" customWidth="1"/>
    <col min="12093" max="12094" width="9.7109375" style="1" customWidth="1"/>
    <col min="12095" max="12095" width="0.7109375" style="1" customWidth="1"/>
    <col min="12096" max="12097" width="9.7109375" style="1" customWidth="1"/>
    <col min="12098" max="12098" width="0.7109375" style="1" customWidth="1"/>
    <col min="12099" max="12100" width="9.7109375" style="1" customWidth="1"/>
    <col min="12101" max="12101" width="0.85546875" style="1" customWidth="1"/>
    <col min="12102" max="12103" width="9.7109375" style="1" customWidth="1"/>
    <col min="12104" max="12104" width="0.85546875" style="1" customWidth="1"/>
    <col min="12105" max="12106" width="9.7109375" style="1" customWidth="1"/>
    <col min="12107" max="12107" width="0.85546875" style="1" customWidth="1"/>
    <col min="12108" max="12291" width="11.42578125" style="1"/>
    <col min="12292" max="12299" width="10.85546875" style="1" customWidth="1"/>
    <col min="12300" max="12300" width="6.42578125" style="1" customWidth="1"/>
    <col min="12301" max="12301" width="0.85546875" style="1" customWidth="1"/>
    <col min="12302" max="12303" width="9.7109375" style="1" customWidth="1"/>
    <col min="12304" max="12304" width="0.85546875" style="1" customWidth="1"/>
    <col min="12305" max="12306" width="9.7109375" style="1" customWidth="1"/>
    <col min="12307" max="12307" width="0.85546875" style="1" customWidth="1"/>
    <col min="12308" max="12309" width="9.7109375" style="1" customWidth="1"/>
    <col min="12310" max="12310" width="0.85546875" style="1" customWidth="1"/>
    <col min="12311" max="12312" width="9.7109375" style="1" customWidth="1"/>
    <col min="12313" max="12313" width="0.85546875" style="1" customWidth="1"/>
    <col min="12314" max="12315" width="9.7109375" style="1" customWidth="1"/>
    <col min="12316" max="12316" width="0.85546875" style="1" customWidth="1"/>
    <col min="12317" max="12318" width="9.7109375" style="1" customWidth="1"/>
    <col min="12319" max="12319" width="0.85546875" style="1" customWidth="1"/>
    <col min="12320" max="12321" width="9.7109375" style="1" customWidth="1"/>
    <col min="12322" max="12322" width="0.85546875" style="1" customWidth="1"/>
    <col min="12323" max="12323" width="6.28515625" style="1" customWidth="1"/>
    <col min="12324" max="12324" width="0.85546875" style="1" customWidth="1"/>
    <col min="12325" max="12325" width="6.28515625" style="1" customWidth="1"/>
    <col min="12326" max="12326" width="0.85546875" style="1" customWidth="1"/>
    <col min="12327" max="12328" width="9.7109375" style="1" customWidth="1"/>
    <col min="12329" max="12329" width="0.85546875" style="1" customWidth="1"/>
    <col min="12330" max="12331" width="9.7109375" style="1" customWidth="1"/>
    <col min="12332" max="12332" width="0.85546875" style="1" customWidth="1"/>
    <col min="12333" max="12333" width="4.42578125" style="1" customWidth="1"/>
    <col min="12334" max="12334" width="0.85546875" style="1" customWidth="1"/>
    <col min="12335" max="12335" width="6.28515625" style="1" customWidth="1"/>
    <col min="12336" max="12336" width="0.85546875" style="1" customWidth="1"/>
    <col min="12337" max="12338" width="9.7109375" style="1" customWidth="1"/>
    <col min="12339" max="12339" width="0.85546875" style="1" customWidth="1"/>
    <col min="12340" max="12341" width="9.7109375" style="1" customWidth="1"/>
    <col min="12342" max="12342" width="0.85546875" style="1" customWidth="1"/>
    <col min="12343" max="12344" width="9.7109375" style="1" customWidth="1"/>
    <col min="12345" max="12345" width="0.85546875" style="1" customWidth="1"/>
    <col min="12346" max="12347" width="9.7109375" style="1" customWidth="1"/>
    <col min="12348" max="12348" width="0.85546875" style="1" customWidth="1"/>
    <col min="12349" max="12350" width="9.7109375" style="1" customWidth="1"/>
    <col min="12351" max="12351" width="0.7109375" style="1" customWidth="1"/>
    <col min="12352" max="12353" width="9.7109375" style="1" customWidth="1"/>
    <col min="12354" max="12354" width="0.7109375" style="1" customWidth="1"/>
    <col min="12355" max="12356" width="9.7109375" style="1" customWidth="1"/>
    <col min="12357" max="12357" width="0.85546875" style="1" customWidth="1"/>
    <col min="12358" max="12359" width="9.7109375" style="1" customWidth="1"/>
    <col min="12360" max="12360" width="0.85546875" style="1" customWidth="1"/>
    <col min="12361" max="12362" width="9.7109375" style="1" customWidth="1"/>
    <col min="12363" max="12363" width="0.85546875" style="1" customWidth="1"/>
    <col min="12364" max="12547" width="11.42578125" style="1"/>
    <col min="12548" max="12555" width="10.85546875" style="1" customWidth="1"/>
    <col min="12556" max="12556" width="6.42578125" style="1" customWidth="1"/>
    <col min="12557" max="12557" width="0.85546875" style="1" customWidth="1"/>
    <col min="12558" max="12559" width="9.7109375" style="1" customWidth="1"/>
    <col min="12560" max="12560" width="0.85546875" style="1" customWidth="1"/>
    <col min="12561" max="12562" width="9.7109375" style="1" customWidth="1"/>
    <col min="12563" max="12563" width="0.85546875" style="1" customWidth="1"/>
    <col min="12564" max="12565" width="9.7109375" style="1" customWidth="1"/>
    <col min="12566" max="12566" width="0.85546875" style="1" customWidth="1"/>
    <col min="12567" max="12568" width="9.7109375" style="1" customWidth="1"/>
    <col min="12569" max="12569" width="0.85546875" style="1" customWidth="1"/>
    <col min="12570" max="12571" width="9.7109375" style="1" customWidth="1"/>
    <col min="12572" max="12572" width="0.85546875" style="1" customWidth="1"/>
    <col min="12573" max="12574" width="9.7109375" style="1" customWidth="1"/>
    <col min="12575" max="12575" width="0.85546875" style="1" customWidth="1"/>
    <col min="12576" max="12577" width="9.7109375" style="1" customWidth="1"/>
    <col min="12578" max="12578" width="0.85546875" style="1" customWidth="1"/>
    <col min="12579" max="12579" width="6.28515625" style="1" customWidth="1"/>
    <col min="12580" max="12580" width="0.85546875" style="1" customWidth="1"/>
    <col min="12581" max="12581" width="6.28515625" style="1" customWidth="1"/>
    <col min="12582" max="12582" width="0.85546875" style="1" customWidth="1"/>
    <col min="12583" max="12584" width="9.7109375" style="1" customWidth="1"/>
    <col min="12585" max="12585" width="0.85546875" style="1" customWidth="1"/>
    <col min="12586" max="12587" width="9.7109375" style="1" customWidth="1"/>
    <col min="12588" max="12588" width="0.85546875" style="1" customWidth="1"/>
    <col min="12589" max="12589" width="4.42578125" style="1" customWidth="1"/>
    <col min="12590" max="12590" width="0.85546875" style="1" customWidth="1"/>
    <col min="12591" max="12591" width="6.28515625" style="1" customWidth="1"/>
    <col min="12592" max="12592" width="0.85546875" style="1" customWidth="1"/>
    <col min="12593" max="12594" width="9.7109375" style="1" customWidth="1"/>
    <col min="12595" max="12595" width="0.85546875" style="1" customWidth="1"/>
    <col min="12596" max="12597" width="9.7109375" style="1" customWidth="1"/>
    <col min="12598" max="12598" width="0.85546875" style="1" customWidth="1"/>
    <col min="12599" max="12600" width="9.7109375" style="1" customWidth="1"/>
    <col min="12601" max="12601" width="0.85546875" style="1" customWidth="1"/>
    <col min="12602" max="12603" width="9.7109375" style="1" customWidth="1"/>
    <col min="12604" max="12604" width="0.85546875" style="1" customWidth="1"/>
    <col min="12605" max="12606" width="9.7109375" style="1" customWidth="1"/>
    <col min="12607" max="12607" width="0.7109375" style="1" customWidth="1"/>
    <col min="12608" max="12609" width="9.7109375" style="1" customWidth="1"/>
    <col min="12610" max="12610" width="0.7109375" style="1" customWidth="1"/>
    <col min="12611" max="12612" width="9.7109375" style="1" customWidth="1"/>
    <col min="12613" max="12613" width="0.85546875" style="1" customWidth="1"/>
    <col min="12614" max="12615" width="9.7109375" style="1" customWidth="1"/>
    <col min="12616" max="12616" width="0.85546875" style="1" customWidth="1"/>
    <col min="12617" max="12618" width="9.7109375" style="1" customWidth="1"/>
    <col min="12619" max="12619" width="0.85546875" style="1" customWidth="1"/>
    <col min="12620" max="12803" width="11.42578125" style="1"/>
    <col min="12804" max="12811" width="10.85546875" style="1" customWidth="1"/>
    <col min="12812" max="12812" width="6.42578125" style="1" customWidth="1"/>
    <col min="12813" max="12813" width="0.85546875" style="1" customWidth="1"/>
    <col min="12814" max="12815" width="9.7109375" style="1" customWidth="1"/>
    <col min="12816" max="12816" width="0.85546875" style="1" customWidth="1"/>
    <col min="12817" max="12818" width="9.7109375" style="1" customWidth="1"/>
    <col min="12819" max="12819" width="0.85546875" style="1" customWidth="1"/>
    <col min="12820" max="12821" width="9.7109375" style="1" customWidth="1"/>
    <col min="12822" max="12822" width="0.85546875" style="1" customWidth="1"/>
    <col min="12823" max="12824" width="9.7109375" style="1" customWidth="1"/>
    <col min="12825" max="12825" width="0.85546875" style="1" customWidth="1"/>
    <col min="12826" max="12827" width="9.7109375" style="1" customWidth="1"/>
    <col min="12828" max="12828" width="0.85546875" style="1" customWidth="1"/>
    <col min="12829" max="12830" width="9.7109375" style="1" customWidth="1"/>
    <col min="12831" max="12831" width="0.85546875" style="1" customWidth="1"/>
    <col min="12832" max="12833" width="9.7109375" style="1" customWidth="1"/>
    <col min="12834" max="12834" width="0.85546875" style="1" customWidth="1"/>
    <col min="12835" max="12835" width="6.28515625" style="1" customWidth="1"/>
    <col min="12836" max="12836" width="0.85546875" style="1" customWidth="1"/>
    <col min="12837" max="12837" width="6.28515625" style="1" customWidth="1"/>
    <col min="12838" max="12838" width="0.85546875" style="1" customWidth="1"/>
    <col min="12839" max="12840" width="9.7109375" style="1" customWidth="1"/>
    <col min="12841" max="12841" width="0.85546875" style="1" customWidth="1"/>
    <col min="12842" max="12843" width="9.7109375" style="1" customWidth="1"/>
    <col min="12844" max="12844" width="0.85546875" style="1" customWidth="1"/>
    <col min="12845" max="12845" width="4.42578125" style="1" customWidth="1"/>
    <col min="12846" max="12846" width="0.85546875" style="1" customWidth="1"/>
    <col min="12847" max="12847" width="6.28515625" style="1" customWidth="1"/>
    <col min="12848" max="12848" width="0.85546875" style="1" customWidth="1"/>
    <col min="12849" max="12850" width="9.7109375" style="1" customWidth="1"/>
    <col min="12851" max="12851" width="0.85546875" style="1" customWidth="1"/>
    <col min="12852" max="12853" width="9.7109375" style="1" customWidth="1"/>
    <col min="12854" max="12854" width="0.85546875" style="1" customWidth="1"/>
    <col min="12855" max="12856" width="9.7109375" style="1" customWidth="1"/>
    <col min="12857" max="12857" width="0.85546875" style="1" customWidth="1"/>
    <col min="12858" max="12859" width="9.7109375" style="1" customWidth="1"/>
    <col min="12860" max="12860" width="0.85546875" style="1" customWidth="1"/>
    <col min="12861" max="12862" width="9.7109375" style="1" customWidth="1"/>
    <col min="12863" max="12863" width="0.7109375" style="1" customWidth="1"/>
    <col min="12864" max="12865" width="9.7109375" style="1" customWidth="1"/>
    <col min="12866" max="12866" width="0.7109375" style="1" customWidth="1"/>
    <col min="12867" max="12868" width="9.7109375" style="1" customWidth="1"/>
    <col min="12869" max="12869" width="0.85546875" style="1" customWidth="1"/>
    <col min="12870" max="12871" width="9.7109375" style="1" customWidth="1"/>
    <col min="12872" max="12872" width="0.85546875" style="1" customWidth="1"/>
    <col min="12873" max="12874" width="9.7109375" style="1" customWidth="1"/>
    <col min="12875" max="12875" width="0.85546875" style="1" customWidth="1"/>
    <col min="12876" max="13059" width="11.42578125" style="1"/>
    <col min="13060" max="13067" width="10.85546875" style="1" customWidth="1"/>
    <col min="13068" max="13068" width="6.42578125" style="1" customWidth="1"/>
    <col min="13069" max="13069" width="0.85546875" style="1" customWidth="1"/>
    <col min="13070" max="13071" width="9.7109375" style="1" customWidth="1"/>
    <col min="13072" max="13072" width="0.85546875" style="1" customWidth="1"/>
    <col min="13073" max="13074" width="9.7109375" style="1" customWidth="1"/>
    <col min="13075" max="13075" width="0.85546875" style="1" customWidth="1"/>
    <col min="13076" max="13077" width="9.7109375" style="1" customWidth="1"/>
    <col min="13078" max="13078" width="0.85546875" style="1" customWidth="1"/>
    <col min="13079" max="13080" width="9.7109375" style="1" customWidth="1"/>
    <col min="13081" max="13081" width="0.85546875" style="1" customWidth="1"/>
    <col min="13082" max="13083" width="9.7109375" style="1" customWidth="1"/>
    <col min="13084" max="13084" width="0.85546875" style="1" customWidth="1"/>
    <col min="13085" max="13086" width="9.7109375" style="1" customWidth="1"/>
    <col min="13087" max="13087" width="0.85546875" style="1" customWidth="1"/>
    <col min="13088" max="13089" width="9.7109375" style="1" customWidth="1"/>
    <col min="13090" max="13090" width="0.85546875" style="1" customWidth="1"/>
    <col min="13091" max="13091" width="6.28515625" style="1" customWidth="1"/>
    <col min="13092" max="13092" width="0.85546875" style="1" customWidth="1"/>
    <col min="13093" max="13093" width="6.28515625" style="1" customWidth="1"/>
    <col min="13094" max="13094" width="0.85546875" style="1" customWidth="1"/>
    <col min="13095" max="13096" width="9.7109375" style="1" customWidth="1"/>
    <col min="13097" max="13097" width="0.85546875" style="1" customWidth="1"/>
    <col min="13098" max="13099" width="9.7109375" style="1" customWidth="1"/>
    <col min="13100" max="13100" width="0.85546875" style="1" customWidth="1"/>
    <col min="13101" max="13101" width="4.42578125" style="1" customWidth="1"/>
    <col min="13102" max="13102" width="0.85546875" style="1" customWidth="1"/>
    <col min="13103" max="13103" width="6.28515625" style="1" customWidth="1"/>
    <col min="13104" max="13104" width="0.85546875" style="1" customWidth="1"/>
    <col min="13105" max="13106" width="9.7109375" style="1" customWidth="1"/>
    <col min="13107" max="13107" width="0.85546875" style="1" customWidth="1"/>
    <col min="13108" max="13109" width="9.7109375" style="1" customWidth="1"/>
    <col min="13110" max="13110" width="0.85546875" style="1" customWidth="1"/>
    <col min="13111" max="13112" width="9.7109375" style="1" customWidth="1"/>
    <col min="13113" max="13113" width="0.85546875" style="1" customWidth="1"/>
    <col min="13114" max="13115" width="9.7109375" style="1" customWidth="1"/>
    <col min="13116" max="13116" width="0.85546875" style="1" customWidth="1"/>
    <col min="13117" max="13118" width="9.7109375" style="1" customWidth="1"/>
    <col min="13119" max="13119" width="0.7109375" style="1" customWidth="1"/>
    <col min="13120" max="13121" width="9.7109375" style="1" customWidth="1"/>
    <col min="13122" max="13122" width="0.7109375" style="1" customWidth="1"/>
    <col min="13123" max="13124" width="9.7109375" style="1" customWidth="1"/>
    <col min="13125" max="13125" width="0.85546875" style="1" customWidth="1"/>
    <col min="13126" max="13127" width="9.7109375" style="1" customWidth="1"/>
    <col min="13128" max="13128" width="0.85546875" style="1" customWidth="1"/>
    <col min="13129" max="13130" width="9.7109375" style="1" customWidth="1"/>
    <col min="13131" max="13131" width="0.85546875" style="1" customWidth="1"/>
    <col min="13132" max="13315" width="11.42578125" style="1"/>
    <col min="13316" max="13323" width="10.85546875" style="1" customWidth="1"/>
    <col min="13324" max="13324" width="6.42578125" style="1" customWidth="1"/>
    <col min="13325" max="13325" width="0.85546875" style="1" customWidth="1"/>
    <col min="13326" max="13327" width="9.7109375" style="1" customWidth="1"/>
    <col min="13328" max="13328" width="0.85546875" style="1" customWidth="1"/>
    <col min="13329" max="13330" width="9.7109375" style="1" customWidth="1"/>
    <col min="13331" max="13331" width="0.85546875" style="1" customWidth="1"/>
    <col min="13332" max="13333" width="9.7109375" style="1" customWidth="1"/>
    <col min="13334" max="13334" width="0.85546875" style="1" customWidth="1"/>
    <col min="13335" max="13336" width="9.7109375" style="1" customWidth="1"/>
    <col min="13337" max="13337" width="0.85546875" style="1" customWidth="1"/>
    <col min="13338" max="13339" width="9.7109375" style="1" customWidth="1"/>
    <col min="13340" max="13340" width="0.85546875" style="1" customWidth="1"/>
    <col min="13341" max="13342" width="9.7109375" style="1" customWidth="1"/>
    <col min="13343" max="13343" width="0.85546875" style="1" customWidth="1"/>
    <col min="13344" max="13345" width="9.7109375" style="1" customWidth="1"/>
    <col min="13346" max="13346" width="0.85546875" style="1" customWidth="1"/>
    <col min="13347" max="13347" width="6.28515625" style="1" customWidth="1"/>
    <col min="13348" max="13348" width="0.85546875" style="1" customWidth="1"/>
    <col min="13349" max="13349" width="6.28515625" style="1" customWidth="1"/>
    <col min="13350" max="13350" width="0.85546875" style="1" customWidth="1"/>
    <col min="13351" max="13352" width="9.7109375" style="1" customWidth="1"/>
    <col min="13353" max="13353" width="0.85546875" style="1" customWidth="1"/>
    <col min="13354" max="13355" width="9.7109375" style="1" customWidth="1"/>
    <col min="13356" max="13356" width="0.85546875" style="1" customWidth="1"/>
    <col min="13357" max="13357" width="4.42578125" style="1" customWidth="1"/>
    <col min="13358" max="13358" width="0.85546875" style="1" customWidth="1"/>
    <col min="13359" max="13359" width="6.28515625" style="1" customWidth="1"/>
    <col min="13360" max="13360" width="0.85546875" style="1" customWidth="1"/>
    <col min="13361" max="13362" width="9.7109375" style="1" customWidth="1"/>
    <col min="13363" max="13363" width="0.85546875" style="1" customWidth="1"/>
    <col min="13364" max="13365" width="9.7109375" style="1" customWidth="1"/>
    <col min="13366" max="13366" width="0.85546875" style="1" customWidth="1"/>
    <col min="13367" max="13368" width="9.7109375" style="1" customWidth="1"/>
    <col min="13369" max="13369" width="0.85546875" style="1" customWidth="1"/>
    <col min="13370" max="13371" width="9.7109375" style="1" customWidth="1"/>
    <col min="13372" max="13372" width="0.85546875" style="1" customWidth="1"/>
    <col min="13373" max="13374" width="9.7109375" style="1" customWidth="1"/>
    <col min="13375" max="13375" width="0.7109375" style="1" customWidth="1"/>
    <col min="13376" max="13377" width="9.7109375" style="1" customWidth="1"/>
    <col min="13378" max="13378" width="0.7109375" style="1" customWidth="1"/>
    <col min="13379" max="13380" width="9.7109375" style="1" customWidth="1"/>
    <col min="13381" max="13381" width="0.85546875" style="1" customWidth="1"/>
    <col min="13382" max="13383" width="9.7109375" style="1" customWidth="1"/>
    <col min="13384" max="13384" width="0.85546875" style="1" customWidth="1"/>
    <col min="13385" max="13386" width="9.7109375" style="1" customWidth="1"/>
    <col min="13387" max="13387" width="0.85546875" style="1" customWidth="1"/>
    <col min="13388" max="13571" width="11.42578125" style="1"/>
    <col min="13572" max="13579" width="10.85546875" style="1" customWidth="1"/>
    <col min="13580" max="13580" width="6.42578125" style="1" customWidth="1"/>
    <col min="13581" max="13581" width="0.85546875" style="1" customWidth="1"/>
    <col min="13582" max="13583" width="9.7109375" style="1" customWidth="1"/>
    <col min="13584" max="13584" width="0.85546875" style="1" customWidth="1"/>
    <col min="13585" max="13586" width="9.7109375" style="1" customWidth="1"/>
    <col min="13587" max="13587" width="0.85546875" style="1" customWidth="1"/>
    <col min="13588" max="13589" width="9.7109375" style="1" customWidth="1"/>
    <col min="13590" max="13590" width="0.85546875" style="1" customWidth="1"/>
    <col min="13591" max="13592" width="9.7109375" style="1" customWidth="1"/>
    <col min="13593" max="13593" width="0.85546875" style="1" customWidth="1"/>
    <col min="13594" max="13595" width="9.7109375" style="1" customWidth="1"/>
    <col min="13596" max="13596" width="0.85546875" style="1" customWidth="1"/>
    <col min="13597" max="13598" width="9.7109375" style="1" customWidth="1"/>
    <col min="13599" max="13599" width="0.85546875" style="1" customWidth="1"/>
    <col min="13600" max="13601" width="9.7109375" style="1" customWidth="1"/>
    <col min="13602" max="13602" width="0.85546875" style="1" customWidth="1"/>
    <col min="13603" max="13603" width="6.28515625" style="1" customWidth="1"/>
    <col min="13604" max="13604" width="0.85546875" style="1" customWidth="1"/>
    <col min="13605" max="13605" width="6.28515625" style="1" customWidth="1"/>
    <col min="13606" max="13606" width="0.85546875" style="1" customWidth="1"/>
    <col min="13607" max="13608" width="9.7109375" style="1" customWidth="1"/>
    <col min="13609" max="13609" width="0.85546875" style="1" customWidth="1"/>
    <col min="13610" max="13611" width="9.7109375" style="1" customWidth="1"/>
    <col min="13612" max="13612" width="0.85546875" style="1" customWidth="1"/>
    <col min="13613" max="13613" width="4.42578125" style="1" customWidth="1"/>
    <col min="13614" max="13614" width="0.85546875" style="1" customWidth="1"/>
    <col min="13615" max="13615" width="6.28515625" style="1" customWidth="1"/>
    <col min="13616" max="13616" width="0.85546875" style="1" customWidth="1"/>
    <col min="13617" max="13618" width="9.7109375" style="1" customWidth="1"/>
    <col min="13619" max="13619" width="0.85546875" style="1" customWidth="1"/>
    <col min="13620" max="13621" width="9.7109375" style="1" customWidth="1"/>
    <col min="13622" max="13622" width="0.85546875" style="1" customWidth="1"/>
    <col min="13623" max="13624" width="9.7109375" style="1" customWidth="1"/>
    <col min="13625" max="13625" width="0.85546875" style="1" customWidth="1"/>
    <col min="13626" max="13627" width="9.7109375" style="1" customWidth="1"/>
    <col min="13628" max="13628" width="0.85546875" style="1" customWidth="1"/>
    <col min="13629" max="13630" width="9.7109375" style="1" customWidth="1"/>
    <col min="13631" max="13631" width="0.7109375" style="1" customWidth="1"/>
    <col min="13632" max="13633" width="9.7109375" style="1" customWidth="1"/>
    <col min="13634" max="13634" width="0.7109375" style="1" customWidth="1"/>
    <col min="13635" max="13636" width="9.7109375" style="1" customWidth="1"/>
    <col min="13637" max="13637" width="0.85546875" style="1" customWidth="1"/>
    <col min="13638" max="13639" width="9.7109375" style="1" customWidth="1"/>
    <col min="13640" max="13640" width="0.85546875" style="1" customWidth="1"/>
    <col min="13641" max="13642" width="9.7109375" style="1" customWidth="1"/>
    <col min="13643" max="13643" width="0.85546875" style="1" customWidth="1"/>
    <col min="13644" max="13827" width="11.42578125" style="1"/>
    <col min="13828" max="13835" width="10.85546875" style="1" customWidth="1"/>
    <col min="13836" max="13836" width="6.42578125" style="1" customWidth="1"/>
    <col min="13837" max="13837" width="0.85546875" style="1" customWidth="1"/>
    <col min="13838" max="13839" width="9.7109375" style="1" customWidth="1"/>
    <col min="13840" max="13840" width="0.85546875" style="1" customWidth="1"/>
    <col min="13841" max="13842" width="9.7109375" style="1" customWidth="1"/>
    <col min="13843" max="13843" width="0.85546875" style="1" customWidth="1"/>
    <col min="13844" max="13845" width="9.7109375" style="1" customWidth="1"/>
    <col min="13846" max="13846" width="0.85546875" style="1" customWidth="1"/>
    <col min="13847" max="13848" width="9.7109375" style="1" customWidth="1"/>
    <col min="13849" max="13849" width="0.85546875" style="1" customWidth="1"/>
    <col min="13850" max="13851" width="9.7109375" style="1" customWidth="1"/>
    <col min="13852" max="13852" width="0.85546875" style="1" customWidth="1"/>
    <col min="13853" max="13854" width="9.7109375" style="1" customWidth="1"/>
    <col min="13855" max="13855" width="0.85546875" style="1" customWidth="1"/>
    <col min="13856" max="13857" width="9.7109375" style="1" customWidth="1"/>
    <col min="13858" max="13858" width="0.85546875" style="1" customWidth="1"/>
    <col min="13859" max="13859" width="6.28515625" style="1" customWidth="1"/>
    <col min="13860" max="13860" width="0.85546875" style="1" customWidth="1"/>
    <col min="13861" max="13861" width="6.28515625" style="1" customWidth="1"/>
    <col min="13862" max="13862" width="0.85546875" style="1" customWidth="1"/>
    <col min="13863" max="13864" width="9.7109375" style="1" customWidth="1"/>
    <col min="13865" max="13865" width="0.85546875" style="1" customWidth="1"/>
    <col min="13866" max="13867" width="9.7109375" style="1" customWidth="1"/>
    <col min="13868" max="13868" width="0.85546875" style="1" customWidth="1"/>
    <col min="13869" max="13869" width="4.42578125" style="1" customWidth="1"/>
    <col min="13870" max="13870" width="0.85546875" style="1" customWidth="1"/>
    <col min="13871" max="13871" width="6.28515625" style="1" customWidth="1"/>
    <col min="13872" max="13872" width="0.85546875" style="1" customWidth="1"/>
    <col min="13873" max="13874" width="9.7109375" style="1" customWidth="1"/>
    <col min="13875" max="13875" width="0.85546875" style="1" customWidth="1"/>
    <col min="13876" max="13877" width="9.7109375" style="1" customWidth="1"/>
    <col min="13878" max="13878" width="0.85546875" style="1" customWidth="1"/>
    <col min="13879" max="13880" width="9.7109375" style="1" customWidth="1"/>
    <col min="13881" max="13881" width="0.85546875" style="1" customWidth="1"/>
    <col min="13882" max="13883" width="9.7109375" style="1" customWidth="1"/>
    <col min="13884" max="13884" width="0.85546875" style="1" customWidth="1"/>
    <col min="13885" max="13886" width="9.7109375" style="1" customWidth="1"/>
    <col min="13887" max="13887" width="0.7109375" style="1" customWidth="1"/>
    <col min="13888" max="13889" width="9.7109375" style="1" customWidth="1"/>
    <col min="13890" max="13890" width="0.7109375" style="1" customWidth="1"/>
    <col min="13891" max="13892" width="9.7109375" style="1" customWidth="1"/>
    <col min="13893" max="13893" width="0.85546875" style="1" customWidth="1"/>
    <col min="13894" max="13895" width="9.7109375" style="1" customWidth="1"/>
    <col min="13896" max="13896" width="0.85546875" style="1" customWidth="1"/>
    <col min="13897" max="13898" width="9.7109375" style="1" customWidth="1"/>
    <col min="13899" max="13899" width="0.85546875" style="1" customWidth="1"/>
    <col min="13900" max="14083" width="11.42578125" style="1"/>
    <col min="14084" max="14091" width="10.85546875" style="1" customWidth="1"/>
    <col min="14092" max="14092" width="6.42578125" style="1" customWidth="1"/>
    <col min="14093" max="14093" width="0.85546875" style="1" customWidth="1"/>
    <col min="14094" max="14095" width="9.7109375" style="1" customWidth="1"/>
    <col min="14096" max="14096" width="0.85546875" style="1" customWidth="1"/>
    <col min="14097" max="14098" width="9.7109375" style="1" customWidth="1"/>
    <col min="14099" max="14099" width="0.85546875" style="1" customWidth="1"/>
    <col min="14100" max="14101" width="9.7109375" style="1" customWidth="1"/>
    <col min="14102" max="14102" width="0.85546875" style="1" customWidth="1"/>
    <col min="14103" max="14104" width="9.7109375" style="1" customWidth="1"/>
    <col min="14105" max="14105" width="0.85546875" style="1" customWidth="1"/>
    <col min="14106" max="14107" width="9.7109375" style="1" customWidth="1"/>
    <col min="14108" max="14108" width="0.85546875" style="1" customWidth="1"/>
    <col min="14109" max="14110" width="9.7109375" style="1" customWidth="1"/>
    <col min="14111" max="14111" width="0.85546875" style="1" customWidth="1"/>
    <col min="14112" max="14113" width="9.7109375" style="1" customWidth="1"/>
    <col min="14114" max="14114" width="0.85546875" style="1" customWidth="1"/>
    <col min="14115" max="14115" width="6.28515625" style="1" customWidth="1"/>
    <col min="14116" max="14116" width="0.85546875" style="1" customWidth="1"/>
    <col min="14117" max="14117" width="6.28515625" style="1" customWidth="1"/>
    <col min="14118" max="14118" width="0.85546875" style="1" customWidth="1"/>
    <col min="14119" max="14120" width="9.7109375" style="1" customWidth="1"/>
    <col min="14121" max="14121" width="0.85546875" style="1" customWidth="1"/>
    <col min="14122" max="14123" width="9.7109375" style="1" customWidth="1"/>
    <col min="14124" max="14124" width="0.85546875" style="1" customWidth="1"/>
    <col min="14125" max="14125" width="4.42578125" style="1" customWidth="1"/>
    <col min="14126" max="14126" width="0.85546875" style="1" customWidth="1"/>
    <col min="14127" max="14127" width="6.28515625" style="1" customWidth="1"/>
    <col min="14128" max="14128" width="0.85546875" style="1" customWidth="1"/>
    <col min="14129" max="14130" width="9.7109375" style="1" customWidth="1"/>
    <col min="14131" max="14131" width="0.85546875" style="1" customWidth="1"/>
    <col min="14132" max="14133" width="9.7109375" style="1" customWidth="1"/>
    <col min="14134" max="14134" width="0.85546875" style="1" customWidth="1"/>
    <col min="14135" max="14136" width="9.7109375" style="1" customWidth="1"/>
    <col min="14137" max="14137" width="0.85546875" style="1" customWidth="1"/>
    <col min="14138" max="14139" width="9.7109375" style="1" customWidth="1"/>
    <col min="14140" max="14140" width="0.85546875" style="1" customWidth="1"/>
    <col min="14141" max="14142" width="9.7109375" style="1" customWidth="1"/>
    <col min="14143" max="14143" width="0.7109375" style="1" customWidth="1"/>
    <col min="14144" max="14145" width="9.7109375" style="1" customWidth="1"/>
    <col min="14146" max="14146" width="0.7109375" style="1" customWidth="1"/>
    <col min="14147" max="14148" width="9.7109375" style="1" customWidth="1"/>
    <col min="14149" max="14149" width="0.85546875" style="1" customWidth="1"/>
    <col min="14150" max="14151" width="9.7109375" style="1" customWidth="1"/>
    <col min="14152" max="14152" width="0.85546875" style="1" customWidth="1"/>
    <col min="14153" max="14154" width="9.7109375" style="1" customWidth="1"/>
    <col min="14155" max="14155" width="0.85546875" style="1" customWidth="1"/>
    <col min="14156" max="14339" width="11.42578125" style="1"/>
    <col min="14340" max="14347" width="10.85546875" style="1" customWidth="1"/>
    <col min="14348" max="14348" width="6.42578125" style="1" customWidth="1"/>
    <col min="14349" max="14349" width="0.85546875" style="1" customWidth="1"/>
    <col min="14350" max="14351" width="9.7109375" style="1" customWidth="1"/>
    <col min="14352" max="14352" width="0.85546875" style="1" customWidth="1"/>
    <col min="14353" max="14354" width="9.7109375" style="1" customWidth="1"/>
    <col min="14355" max="14355" width="0.85546875" style="1" customWidth="1"/>
    <col min="14356" max="14357" width="9.7109375" style="1" customWidth="1"/>
    <col min="14358" max="14358" width="0.85546875" style="1" customWidth="1"/>
    <col min="14359" max="14360" width="9.7109375" style="1" customWidth="1"/>
    <col min="14361" max="14361" width="0.85546875" style="1" customWidth="1"/>
    <col min="14362" max="14363" width="9.7109375" style="1" customWidth="1"/>
    <col min="14364" max="14364" width="0.85546875" style="1" customWidth="1"/>
    <col min="14365" max="14366" width="9.7109375" style="1" customWidth="1"/>
    <col min="14367" max="14367" width="0.85546875" style="1" customWidth="1"/>
    <col min="14368" max="14369" width="9.7109375" style="1" customWidth="1"/>
    <col min="14370" max="14370" width="0.85546875" style="1" customWidth="1"/>
    <col min="14371" max="14371" width="6.28515625" style="1" customWidth="1"/>
    <col min="14372" max="14372" width="0.85546875" style="1" customWidth="1"/>
    <col min="14373" max="14373" width="6.28515625" style="1" customWidth="1"/>
    <col min="14374" max="14374" width="0.85546875" style="1" customWidth="1"/>
    <col min="14375" max="14376" width="9.7109375" style="1" customWidth="1"/>
    <col min="14377" max="14377" width="0.85546875" style="1" customWidth="1"/>
    <col min="14378" max="14379" width="9.7109375" style="1" customWidth="1"/>
    <col min="14380" max="14380" width="0.85546875" style="1" customWidth="1"/>
    <col min="14381" max="14381" width="4.42578125" style="1" customWidth="1"/>
    <col min="14382" max="14382" width="0.85546875" style="1" customWidth="1"/>
    <col min="14383" max="14383" width="6.28515625" style="1" customWidth="1"/>
    <col min="14384" max="14384" width="0.85546875" style="1" customWidth="1"/>
    <col min="14385" max="14386" width="9.7109375" style="1" customWidth="1"/>
    <col min="14387" max="14387" width="0.85546875" style="1" customWidth="1"/>
    <col min="14388" max="14389" width="9.7109375" style="1" customWidth="1"/>
    <col min="14390" max="14390" width="0.85546875" style="1" customWidth="1"/>
    <col min="14391" max="14392" width="9.7109375" style="1" customWidth="1"/>
    <col min="14393" max="14393" width="0.85546875" style="1" customWidth="1"/>
    <col min="14394" max="14395" width="9.7109375" style="1" customWidth="1"/>
    <col min="14396" max="14396" width="0.85546875" style="1" customWidth="1"/>
    <col min="14397" max="14398" width="9.7109375" style="1" customWidth="1"/>
    <col min="14399" max="14399" width="0.7109375" style="1" customWidth="1"/>
    <col min="14400" max="14401" width="9.7109375" style="1" customWidth="1"/>
    <col min="14402" max="14402" width="0.7109375" style="1" customWidth="1"/>
    <col min="14403" max="14404" width="9.7109375" style="1" customWidth="1"/>
    <col min="14405" max="14405" width="0.85546875" style="1" customWidth="1"/>
    <col min="14406" max="14407" width="9.7109375" style="1" customWidth="1"/>
    <col min="14408" max="14408" width="0.85546875" style="1" customWidth="1"/>
    <col min="14409" max="14410" width="9.7109375" style="1" customWidth="1"/>
    <col min="14411" max="14411" width="0.85546875" style="1" customWidth="1"/>
    <col min="14412" max="14595" width="11.42578125" style="1"/>
    <col min="14596" max="14603" width="10.85546875" style="1" customWidth="1"/>
    <col min="14604" max="14604" width="6.42578125" style="1" customWidth="1"/>
    <col min="14605" max="14605" width="0.85546875" style="1" customWidth="1"/>
    <col min="14606" max="14607" width="9.7109375" style="1" customWidth="1"/>
    <col min="14608" max="14608" width="0.85546875" style="1" customWidth="1"/>
    <col min="14609" max="14610" width="9.7109375" style="1" customWidth="1"/>
    <col min="14611" max="14611" width="0.85546875" style="1" customWidth="1"/>
    <col min="14612" max="14613" width="9.7109375" style="1" customWidth="1"/>
    <col min="14614" max="14614" width="0.85546875" style="1" customWidth="1"/>
    <col min="14615" max="14616" width="9.7109375" style="1" customWidth="1"/>
    <col min="14617" max="14617" width="0.85546875" style="1" customWidth="1"/>
    <col min="14618" max="14619" width="9.7109375" style="1" customWidth="1"/>
    <col min="14620" max="14620" width="0.85546875" style="1" customWidth="1"/>
    <col min="14621" max="14622" width="9.7109375" style="1" customWidth="1"/>
    <col min="14623" max="14623" width="0.85546875" style="1" customWidth="1"/>
    <col min="14624" max="14625" width="9.7109375" style="1" customWidth="1"/>
    <col min="14626" max="14626" width="0.85546875" style="1" customWidth="1"/>
    <col min="14627" max="14627" width="6.28515625" style="1" customWidth="1"/>
    <col min="14628" max="14628" width="0.85546875" style="1" customWidth="1"/>
    <col min="14629" max="14629" width="6.28515625" style="1" customWidth="1"/>
    <col min="14630" max="14630" width="0.85546875" style="1" customWidth="1"/>
    <col min="14631" max="14632" width="9.7109375" style="1" customWidth="1"/>
    <col min="14633" max="14633" width="0.85546875" style="1" customWidth="1"/>
    <col min="14634" max="14635" width="9.7109375" style="1" customWidth="1"/>
    <col min="14636" max="14636" width="0.85546875" style="1" customWidth="1"/>
    <col min="14637" max="14637" width="4.42578125" style="1" customWidth="1"/>
    <col min="14638" max="14638" width="0.85546875" style="1" customWidth="1"/>
    <col min="14639" max="14639" width="6.28515625" style="1" customWidth="1"/>
    <col min="14640" max="14640" width="0.85546875" style="1" customWidth="1"/>
    <col min="14641" max="14642" width="9.7109375" style="1" customWidth="1"/>
    <col min="14643" max="14643" width="0.85546875" style="1" customWidth="1"/>
    <col min="14644" max="14645" width="9.7109375" style="1" customWidth="1"/>
    <col min="14646" max="14646" width="0.85546875" style="1" customWidth="1"/>
    <col min="14647" max="14648" width="9.7109375" style="1" customWidth="1"/>
    <col min="14649" max="14649" width="0.85546875" style="1" customWidth="1"/>
    <col min="14650" max="14651" width="9.7109375" style="1" customWidth="1"/>
    <col min="14652" max="14652" width="0.85546875" style="1" customWidth="1"/>
    <col min="14653" max="14654" width="9.7109375" style="1" customWidth="1"/>
    <col min="14655" max="14655" width="0.7109375" style="1" customWidth="1"/>
    <col min="14656" max="14657" width="9.7109375" style="1" customWidth="1"/>
    <col min="14658" max="14658" width="0.7109375" style="1" customWidth="1"/>
    <col min="14659" max="14660" width="9.7109375" style="1" customWidth="1"/>
    <col min="14661" max="14661" width="0.85546875" style="1" customWidth="1"/>
    <col min="14662" max="14663" width="9.7109375" style="1" customWidth="1"/>
    <col min="14664" max="14664" width="0.85546875" style="1" customWidth="1"/>
    <col min="14665" max="14666" width="9.7109375" style="1" customWidth="1"/>
    <col min="14667" max="14667" width="0.85546875" style="1" customWidth="1"/>
    <col min="14668" max="14851" width="11.42578125" style="1"/>
    <col min="14852" max="14859" width="10.85546875" style="1" customWidth="1"/>
    <col min="14860" max="14860" width="6.42578125" style="1" customWidth="1"/>
    <col min="14861" max="14861" width="0.85546875" style="1" customWidth="1"/>
    <col min="14862" max="14863" width="9.7109375" style="1" customWidth="1"/>
    <col min="14864" max="14864" width="0.85546875" style="1" customWidth="1"/>
    <col min="14865" max="14866" width="9.7109375" style="1" customWidth="1"/>
    <col min="14867" max="14867" width="0.85546875" style="1" customWidth="1"/>
    <col min="14868" max="14869" width="9.7109375" style="1" customWidth="1"/>
    <col min="14870" max="14870" width="0.85546875" style="1" customWidth="1"/>
    <col min="14871" max="14872" width="9.7109375" style="1" customWidth="1"/>
    <col min="14873" max="14873" width="0.85546875" style="1" customWidth="1"/>
    <col min="14874" max="14875" width="9.7109375" style="1" customWidth="1"/>
    <col min="14876" max="14876" width="0.85546875" style="1" customWidth="1"/>
    <col min="14877" max="14878" width="9.7109375" style="1" customWidth="1"/>
    <col min="14879" max="14879" width="0.85546875" style="1" customWidth="1"/>
    <col min="14880" max="14881" width="9.7109375" style="1" customWidth="1"/>
    <col min="14882" max="14882" width="0.85546875" style="1" customWidth="1"/>
    <col min="14883" max="14883" width="6.28515625" style="1" customWidth="1"/>
    <col min="14884" max="14884" width="0.85546875" style="1" customWidth="1"/>
    <col min="14885" max="14885" width="6.28515625" style="1" customWidth="1"/>
    <col min="14886" max="14886" width="0.85546875" style="1" customWidth="1"/>
    <col min="14887" max="14888" width="9.7109375" style="1" customWidth="1"/>
    <col min="14889" max="14889" width="0.85546875" style="1" customWidth="1"/>
    <col min="14890" max="14891" width="9.7109375" style="1" customWidth="1"/>
    <col min="14892" max="14892" width="0.85546875" style="1" customWidth="1"/>
    <col min="14893" max="14893" width="4.42578125" style="1" customWidth="1"/>
    <col min="14894" max="14894" width="0.85546875" style="1" customWidth="1"/>
    <col min="14895" max="14895" width="6.28515625" style="1" customWidth="1"/>
    <col min="14896" max="14896" width="0.85546875" style="1" customWidth="1"/>
    <col min="14897" max="14898" width="9.7109375" style="1" customWidth="1"/>
    <col min="14899" max="14899" width="0.85546875" style="1" customWidth="1"/>
    <col min="14900" max="14901" width="9.7109375" style="1" customWidth="1"/>
    <col min="14902" max="14902" width="0.85546875" style="1" customWidth="1"/>
    <col min="14903" max="14904" width="9.7109375" style="1" customWidth="1"/>
    <col min="14905" max="14905" width="0.85546875" style="1" customWidth="1"/>
    <col min="14906" max="14907" width="9.7109375" style="1" customWidth="1"/>
    <col min="14908" max="14908" width="0.85546875" style="1" customWidth="1"/>
    <col min="14909" max="14910" width="9.7109375" style="1" customWidth="1"/>
    <col min="14911" max="14911" width="0.7109375" style="1" customWidth="1"/>
    <col min="14912" max="14913" width="9.7109375" style="1" customWidth="1"/>
    <col min="14914" max="14914" width="0.7109375" style="1" customWidth="1"/>
    <col min="14915" max="14916" width="9.7109375" style="1" customWidth="1"/>
    <col min="14917" max="14917" width="0.85546875" style="1" customWidth="1"/>
    <col min="14918" max="14919" width="9.7109375" style="1" customWidth="1"/>
    <col min="14920" max="14920" width="0.85546875" style="1" customWidth="1"/>
    <col min="14921" max="14922" width="9.7109375" style="1" customWidth="1"/>
    <col min="14923" max="14923" width="0.85546875" style="1" customWidth="1"/>
    <col min="14924" max="15107" width="11.42578125" style="1"/>
    <col min="15108" max="15115" width="10.85546875" style="1" customWidth="1"/>
    <col min="15116" max="15116" width="6.42578125" style="1" customWidth="1"/>
    <col min="15117" max="15117" width="0.85546875" style="1" customWidth="1"/>
    <col min="15118" max="15119" width="9.7109375" style="1" customWidth="1"/>
    <col min="15120" max="15120" width="0.85546875" style="1" customWidth="1"/>
    <col min="15121" max="15122" width="9.7109375" style="1" customWidth="1"/>
    <col min="15123" max="15123" width="0.85546875" style="1" customWidth="1"/>
    <col min="15124" max="15125" width="9.7109375" style="1" customWidth="1"/>
    <col min="15126" max="15126" width="0.85546875" style="1" customWidth="1"/>
    <col min="15127" max="15128" width="9.7109375" style="1" customWidth="1"/>
    <col min="15129" max="15129" width="0.85546875" style="1" customWidth="1"/>
    <col min="15130" max="15131" width="9.7109375" style="1" customWidth="1"/>
    <col min="15132" max="15132" width="0.85546875" style="1" customWidth="1"/>
    <col min="15133" max="15134" width="9.7109375" style="1" customWidth="1"/>
    <col min="15135" max="15135" width="0.85546875" style="1" customWidth="1"/>
    <col min="15136" max="15137" width="9.7109375" style="1" customWidth="1"/>
    <col min="15138" max="15138" width="0.85546875" style="1" customWidth="1"/>
    <col min="15139" max="15139" width="6.28515625" style="1" customWidth="1"/>
    <col min="15140" max="15140" width="0.85546875" style="1" customWidth="1"/>
    <col min="15141" max="15141" width="6.28515625" style="1" customWidth="1"/>
    <col min="15142" max="15142" width="0.85546875" style="1" customWidth="1"/>
    <col min="15143" max="15144" width="9.7109375" style="1" customWidth="1"/>
    <col min="15145" max="15145" width="0.85546875" style="1" customWidth="1"/>
    <col min="15146" max="15147" width="9.7109375" style="1" customWidth="1"/>
    <col min="15148" max="15148" width="0.85546875" style="1" customWidth="1"/>
    <col min="15149" max="15149" width="4.42578125" style="1" customWidth="1"/>
    <col min="15150" max="15150" width="0.85546875" style="1" customWidth="1"/>
    <col min="15151" max="15151" width="6.28515625" style="1" customWidth="1"/>
    <col min="15152" max="15152" width="0.85546875" style="1" customWidth="1"/>
    <col min="15153" max="15154" width="9.7109375" style="1" customWidth="1"/>
    <col min="15155" max="15155" width="0.85546875" style="1" customWidth="1"/>
    <col min="15156" max="15157" width="9.7109375" style="1" customWidth="1"/>
    <col min="15158" max="15158" width="0.85546875" style="1" customWidth="1"/>
    <col min="15159" max="15160" width="9.7109375" style="1" customWidth="1"/>
    <col min="15161" max="15161" width="0.85546875" style="1" customWidth="1"/>
    <col min="15162" max="15163" width="9.7109375" style="1" customWidth="1"/>
    <col min="15164" max="15164" width="0.85546875" style="1" customWidth="1"/>
    <col min="15165" max="15166" width="9.7109375" style="1" customWidth="1"/>
    <col min="15167" max="15167" width="0.7109375" style="1" customWidth="1"/>
    <col min="15168" max="15169" width="9.7109375" style="1" customWidth="1"/>
    <col min="15170" max="15170" width="0.7109375" style="1" customWidth="1"/>
    <col min="15171" max="15172" width="9.7109375" style="1" customWidth="1"/>
    <col min="15173" max="15173" width="0.85546875" style="1" customWidth="1"/>
    <col min="15174" max="15175" width="9.7109375" style="1" customWidth="1"/>
    <col min="15176" max="15176" width="0.85546875" style="1" customWidth="1"/>
    <col min="15177" max="15178" width="9.7109375" style="1" customWidth="1"/>
    <col min="15179" max="15179" width="0.85546875" style="1" customWidth="1"/>
    <col min="15180" max="15363" width="11.42578125" style="1"/>
    <col min="15364" max="15371" width="10.85546875" style="1" customWidth="1"/>
    <col min="15372" max="15372" width="6.42578125" style="1" customWidth="1"/>
    <col min="15373" max="15373" width="0.85546875" style="1" customWidth="1"/>
    <col min="15374" max="15375" width="9.7109375" style="1" customWidth="1"/>
    <col min="15376" max="15376" width="0.85546875" style="1" customWidth="1"/>
    <col min="15377" max="15378" width="9.7109375" style="1" customWidth="1"/>
    <col min="15379" max="15379" width="0.85546875" style="1" customWidth="1"/>
    <col min="15380" max="15381" width="9.7109375" style="1" customWidth="1"/>
    <col min="15382" max="15382" width="0.85546875" style="1" customWidth="1"/>
    <col min="15383" max="15384" width="9.7109375" style="1" customWidth="1"/>
    <col min="15385" max="15385" width="0.85546875" style="1" customWidth="1"/>
    <col min="15386" max="15387" width="9.7109375" style="1" customWidth="1"/>
    <col min="15388" max="15388" width="0.85546875" style="1" customWidth="1"/>
    <col min="15389" max="15390" width="9.7109375" style="1" customWidth="1"/>
    <col min="15391" max="15391" width="0.85546875" style="1" customWidth="1"/>
    <col min="15392" max="15393" width="9.7109375" style="1" customWidth="1"/>
    <col min="15394" max="15394" width="0.85546875" style="1" customWidth="1"/>
    <col min="15395" max="15395" width="6.28515625" style="1" customWidth="1"/>
    <col min="15396" max="15396" width="0.85546875" style="1" customWidth="1"/>
    <col min="15397" max="15397" width="6.28515625" style="1" customWidth="1"/>
    <col min="15398" max="15398" width="0.85546875" style="1" customWidth="1"/>
    <col min="15399" max="15400" width="9.7109375" style="1" customWidth="1"/>
    <col min="15401" max="15401" width="0.85546875" style="1" customWidth="1"/>
    <col min="15402" max="15403" width="9.7109375" style="1" customWidth="1"/>
    <col min="15404" max="15404" width="0.85546875" style="1" customWidth="1"/>
    <col min="15405" max="15405" width="4.42578125" style="1" customWidth="1"/>
    <col min="15406" max="15406" width="0.85546875" style="1" customWidth="1"/>
    <col min="15407" max="15407" width="6.28515625" style="1" customWidth="1"/>
    <col min="15408" max="15408" width="0.85546875" style="1" customWidth="1"/>
    <col min="15409" max="15410" width="9.7109375" style="1" customWidth="1"/>
    <col min="15411" max="15411" width="0.85546875" style="1" customWidth="1"/>
    <col min="15412" max="15413" width="9.7109375" style="1" customWidth="1"/>
    <col min="15414" max="15414" width="0.85546875" style="1" customWidth="1"/>
    <col min="15415" max="15416" width="9.7109375" style="1" customWidth="1"/>
    <col min="15417" max="15417" width="0.85546875" style="1" customWidth="1"/>
    <col min="15418" max="15419" width="9.7109375" style="1" customWidth="1"/>
    <col min="15420" max="15420" width="0.85546875" style="1" customWidth="1"/>
    <col min="15421" max="15422" width="9.7109375" style="1" customWidth="1"/>
    <col min="15423" max="15423" width="0.7109375" style="1" customWidth="1"/>
    <col min="15424" max="15425" width="9.7109375" style="1" customWidth="1"/>
    <col min="15426" max="15426" width="0.7109375" style="1" customWidth="1"/>
    <col min="15427" max="15428" width="9.7109375" style="1" customWidth="1"/>
    <col min="15429" max="15429" width="0.85546875" style="1" customWidth="1"/>
    <col min="15430" max="15431" width="9.7109375" style="1" customWidth="1"/>
    <col min="15432" max="15432" width="0.85546875" style="1" customWidth="1"/>
    <col min="15433" max="15434" width="9.7109375" style="1" customWidth="1"/>
    <col min="15435" max="15435" width="0.85546875" style="1" customWidth="1"/>
    <col min="15436" max="15619" width="11.42578125" style="1"/>
    <col min="15620" max="15627" width="10.85546875" style="1" customWidth="1"/>
    <col min="15628" max="15628" width="6.42578125" style="1" customWidth="1"/>
    <col min="15629" max="15629" width="0.85546875" style="1" customWidth="1"/>
    <col min="15630" max="15631" width="9.7109375" style="1" customWidth="1"/>
    <col min="15632" max="15632" width="0.85546875" style="1" customWidth="1"/>
    <col min="15633" max="15634" width="9.7109375" style="1" customWidth="1"/>
    <col min="15635" max="15635" width="0.85546875" style="1" customWidth="1"/>
    <col min="15636" max="15637" width="9.7109375" style="1" customWidth="1"/>
    <col min="15638" max="15638" width="0.85546875" style="1" customWidth="1"/>
    <col min="15639" max="15640" width="9.7109375" style="1" customWidth="1"/>
    <col min="15641" max="15641" width="0.85546875" style="1" customWidth="1"/>
    <col min="15642" max="15643" width="9.7109375" style="1" customWidth="1"/>
    <col min="15644" max="15644" width="0.85546875" style="1" customWidth="1"/>
    <col min="15645" max="15646" width="9.7109375" style="1" customWidth="1"/>
    <col min="15647" max="15647" width="0.85546875" style="1" customWidth="1"/>
    <col min="15648" max="15649" width="9.7109375" style="1" customWidth="1"/>
    <col min="15650" max="15650" width="0.85546875" style="1" customWidth="1"/>
    <col min="15651" max="15651" width="6.28515625" style="1" customWidth="1"/>
    <col min="15652" max="15652" width="0.85546875" style="1" customWidth="1"/>
    <col min="15653" max="15653" width="6.28515625" style="1" customWidth="1"/>
    <col min="15654" max="15654" width="0.85546875" style="1" customWidth="1"/>
    <col min="15655" max="15656" width="9.7109375" style="1" customWidth="1"/>
    <col min="15657" max="15657" width="0.85546875" style="1" customWidth="1"/>
    <col min="15658" max="15659" width="9.7109375" style="1" customWidth="1"/>
    <col min="15660" max="15660" width="0.85546875" style="1" customWidth="1"/>
    <col min="15661" max="15661" width="4.42578125" style="1" customWidth="1"/>
    <col min="15662" max="15662" width="0.85546875" style="1" customWidth="1"/>
    <col min="15663" max="15663" width="6.28515625" style="1" customWidth="1"/>
    <col min="15664" max="15664" width="0.85546875" style="1" customWidth="1"/>
    <col min="15665" max="15666" width="9.7109375" style="1" customWidth="1"/>
    <col min="15667" max="15667" width="0.85546875" style="1" customWidth="1"/>
    <col min="15668" max="15669" width="9.7109375" style="1" customWidth="1"/>
    <col min="15670" max="15670" width="0.85546875" style="1" customWidth="1"/>
    <col min="15671" max="15672" width="9.7109375" style="1" customWidth="1"/>
    <col min="15673" max="15673" width="0.85546875" style="1" customWidth="1"/>
    <col min="15674" max="15675" width="9.7109375" style="1" customWidth="1"/>
    <col min="15676" max="15676" width="0.85546875" style="1" customWidth="1"/>
    <col min="15677" max="15678" width="9.7109375" style="1" customWidth="1"/>
    <col min="15679" max="15679" width="0.7109375" style="1" customWidth="1"/>
    <col min="15680" max="15681" width="9.7109375" style="1" customWidth="1"/>
    <col min="15682" max="15682" width="0.7109375" style="1" customWidth="1"/>
    <col min="15683" max="15684" width="9.7109375" style="1" customWidth="1"/>
    <col min="15685" max="15685" width="0.85546875" style="1" customWidth="1"/>
    <col min="15686" max="15687" width="9.7109375" style="1" customWidth="1"/>
    <col min="15688" max="15688" width="0.85546875" style="1" customWidth="1"/>
    <col min="15689" max="15690" width="9.7109375" style="1" customWidth="1"/>
    <col min="15691" max="15691" width="0.85546875" style="1" customWidth="1"/>
    <col min="15692" max="15875" width="11.42578125" style="1"/>
    <col min="15876" max="15883" width="10.85546875" style="1" customWidth="1"/>
    <col min="15884" max="15884" width="6.42578125" style="1" customWidth="1"/>
    <col min="15885" max="15885" width="0.85546875" style="1" customWidth="1"/>
    <col min="15886" max="15887" width="9.7109375" style="1" customWidth="1"/>
    <col min="15888" max="15888" width="0.85546875" style="1" customWidth="1"/>
    <col min="15889" max="15890" width="9.7109375" style="1" customWidth="1"/>
    <col min="15891" max="15891" width="0.85546875" style="1" customWidth="1"/>
    <col min="15892" max="15893" width="9.7109375" style="1" customWidth="1"/>
    <col min="15894" max="15894" width="0.85546875" style="1" customWidth="1"/>
    <col min="15895" max="15896" width="9.7109375" style="1" customWidth="1"/>
    <col min="15897" max="15897" width="0.85546875" style="1" customWidth="1"/>
    <col min="15898" max="15899" width="9.7109375" style="1" customWidth="1"/>
    <col min="15900" max="15900" width="0.85546875" style="1" customWidth="1"/>
    <col min="15901" max="15902" width="9.7109375" style="1" customWidth="1"/>
    <col min="15903" max="15903" width="0.85546875" style="1" customWidth="1"/>
    <col min="15904" max="15905" width="9.7109375" style="1" customWidth="1"/>
    <col min="15906" max="15906" width="0.85546875" style="1" customWidth="1"/>
    <col min="15907" max="15907" width="6.28515625" style="1" customWidth="1"/>
    <col min="15908" max="15908" width="0.85546875" style="1" customWidth="1"/>
    <col min="15909" max="15909" width="6.28515625" style="1" customWidth="1"/>
    <col min="15910" max="15910" width="0.85546875" style="1" customWidth="1"/>
    <col min="15911" max="15912" width="9.7109375" style="1" customWidth="1"/>
    <col min="15913" max="15913" width="0.85546875" style="1" customWidth="1"/>
    <col min="15914" max="15915" width="9.7109375" style="1" customWidth="1"/>
    <col min="15916" max="15916" width="0.85546875" style="1" customWidth="1"/>
    <col min="15917" max="15917" width="4.42578125" style="1" customWidth="1"/>
    <col min="15918" max="15918" width="0.85546875" style="1" customWidth="1"/>
    <col min="15919" max="15919" width="6.28515625" style="1" customWidth="1"/>
    <col min="15920" max="15920" width="0.85546875" style="1" customWidth="1"/>
    <col min="15921" max="15922" width="9.7109375" style="1" customWidth="1"/>
    <col min="15923" max="15923" width="0.85546875" style="1" customWidth="1"/>
    <col min="15924" max="15925" width="9.7109375" style="1" customWidth="1"/>
    <col min="15926" max="15926" width="0.85546875" style="1" customWidth="1"/>
    <col min="15927" max="15928" width="9.7109375" style="1" customWidth="1"/>
    <col min="15929" max="15929" width="0.85546875" style="1" customWidth="1"/>
    <col min="15930" max="15931" width="9.7109375" style="1" customWidth="1"/>
    <col min="15932" max="15932" width="0.85546875" style="1" customWidth="1"/>
    <col min="15933" max="15934" width="9.7109375" style="1" customWidth="1"/>
    <col min="15935" max="15935" width="0.7109375" style="1" customWidth="1"/>
    <col min="15936" max="15937" width="9.7109375" style="1" customWidth="1"/>
    <col min="15938" max="15938" width="0.7109375" style="1" customWidth="1"/>
    <col min="15939" max="15940" width="9.7109375" style="1" customWidth="1"/>
    <col min="15941" max="15941" width="0.85546875" style="1" customWidth="1"/>
    <col min="15942" max="15943" width="9.7109375" style="1" customWidth="1"/>
    <col min="15944" max="15944" width="0.85546875" style="1" customWidth="1"/>
    <col min="15945" max="15946" width="9.7109375" style="1" customWidth="1"/>
    <col min="15947" max="15947" width="0.85546875" style="1" customWidth="1"/>
    <col min="15948" max="16131" width="11.42578125" style="1"/>
    <col min="16132" max="16139" width="10.85546875" style="1" customWidth="1"/>
    <col min="16140" max="16140" width="6.42578125" style="1" customWidth="1"/>
    <col min="16141" max="16141" width="0.85546875" style="1" customWidth="1"/>
    <col min="16142" max="16143" width="9.7109375" style="1" customWidth="1"/>
    <col min="16144" max="16144" width="0.85546875" style="1" customWidth="1"/>
    <col min="16145" max="16146" width="9.7109375" style="1" customWidth="1"/>
    <col min="16147" max="16147" width="0.85546875" style="1" customWidth="1"/>
    <col min="16148" max="16149" width="9.7109375" style="1" customWidth="1"/>
    <col min="16150" max="16150" width="0.85546875" style="1" customWidth="1"/>
    <col min="16151" max="16152" width="9.7109375" style="1" customWidth="1"/>
    <col min="16153" max="16153" width="0.85546875" style="1" customWidth="1"/>
    <col min="16154" max="16155" width="9.7109375" style="1" customWidth="1"/>
    <col min="16156" max="16156" width="0.85546875" style="1" customWidth="1"/>
    <col min="16157" max="16158" width="9.7109375" style="1" customWidth="1"/>
    <col min="16159" max="16159" width="0.85546875" style="1" customWidth="1"/>
    <col min="16160" max="16161" width="9.7109375" style="1" customWidth="1"/>
    <col min="16162" max="16162" width="0.85546875" style="1" customWidth="1"/>
    <col min="16163" max="16163" width="6.28515625" style="1" customWidth="1"/>
    <col min="16164" max="16164" width="0.85546875" style="1" customWidth="1"/>
    <col min="16165" max="16165" width="6.28515625" style="1" customWidth="1"/>
    <col min="16166" max="16166" width="0.85546875" style="1" customWidth="1"/>
    <col min="16167" max="16168" width="9.7109375" style="1" customWidth="1"/>
    <col min="16169" max="16169" width="0.85546875" style="1" customWidth="1"/>
    <col min="16170" max="16171" width="9.7109375" style="1" customWidth="1"/>
    <col min="16172" max="16172" width="0.85546875" style="1" customWidth="1"/>
    <col min="16173" max="16173" width="4.42578125" style="1" customWidth="1"/>
    <col min="16174" max="16174" width="0.85546875" style="1" customWidth="1"/>
    <col min="16175" max="16175" width="6.28515625" style="1" customWidth="1"/>
    <col min="16176" max="16176" width="0.85546875" style="1" customWidth="1"/>
    <col min="16177" max="16178" width="9.7109375" style="1" customWidth="1"/>
    <col min="16179" max="16179" width="0.85546875" style="1" customWidth="1"/>
    <col min="16180" max="16181" width="9.7109375" style="1" customWidth="1"/>
    <col min="16182" max="16182" width="0.85546875" style="1" customWidth="1"/>
    <col min="16183" max="16184" width="9.7109375" style="1" customWidth="1"/>
    <col min="16185" max="16185" width="0.85546875" style="1" customWidth="1"/>
    <col min="16186" max="16187" width="9.7109375" style="1" customWidth="1"/>
    <col min="16188" max="16188" width="0.85546875" style="1" customWidth="1"/>
    <col min="16189" max="16190" width="9.7109375" style="1" customWidth="1"/>
    <col min="16191" max="16191" width="0.7109375" style="1" customWidth="1"/>
    <col min="16192" max="16193" width="9.7109375" style="1" customWidth="1"/>
    <col min="16194" max="16194" width="0.7109375" style="1" customWidth="1"/>
    <col min="16195" max="16196" width="9.7109375" style="1" customWidth="1"/>
    <col min="16197" max="16197" width="0.85546875" style="1" customWidth="1"/>
    <col min="16198" max="16199" width="9.7109375" style="1" customWidth="1"/>
    <col min="16200" max="16200" width="0.85546875" style="1" customWidth="1"/>
    <col min="16201" max="16202" width="9.7109375" style="1" customWidth="1"/>
    <col min="16203" max="16203" width="0.85546875" style="1" customWidth="1"/>
    <col min="16204" max="16367" width="11.42578125" style="1"/>
    <col min="16368" max="16368" width="11.42578125" style="1" customWidth="1"/>
    <col min="16369" max="16384" width="11.42578125" style="1"/>
  </cols>
  <sheetData>
    <row r="1" spans="1:84" customFormat="1" ht="27" customHeight="1" x14ac:dyDescent="0.25">
      <c r="A1" s="1"/>
      <c r="B1" s="162" t="s">
        <v>171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2"/>
      <c r="W1" s="2"/>
      <c r="X1" s="2"/>
      <c r="Y1" s="1"/>
      <c r="Z1" s="162" t="s">
        <v>181</v>
      </c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2"/>
      <c r="AX1" s="162" t="s">
        <v>181</v>
      </c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163"/>
      <c r="BO1" s="163"/>
      <c r="BP1" s="163"/>
      <c r="BQ1" s="163"/>
      <c r="BR1" s="163"/>
      <c r="BS1" s="163"/>
      <c r="BT1" s="163"/>
      <c r="BU1" s="163"/>
      <c r="BV1" s="163"/>
      <c r="BW1" s="163"/>
      <c r="BX1" s="163"/>
      <c r="BY1" s="163"/>
      <c r="BZ1" s="163"/>
      <c r="CA1" s="163"/>
      <c r="CB1" s="78"/>
      <c r="CC1" s="78"/>
      <c r="CD1" s="78"/>
      <c r="CE1" s="3"/>
      <c r="CF1" s="3"/>
    </row>
    <row r="2" spans="1:84" customFormat="1" ht="10.15" customHeight="1" thickBot="1" x14ac:dyDescent="0.3">
      <c r="A2" s="4"/>
      <c r="B2" s="4"/>
      <c r="C2" s="4"/>
      <c r="D2" s="4"/>
      <c r="E2" s="4"/>
      <c r="F2" s="5"/>
      <c r="G2" s="4"/>
      <c r="H2" s="4"/>
      <c r="I2" s="5"/>
      <c r="J2" s="4"/>
      <c r="K2" s="4"/>
      <c r="L2" s="5"/>
      <c r="M2" s="74"/>
      <c r="N2" s="5"/>
      <c r="O2" s="5"/>
      <c r="P2" s="77"/>
      <c r="Q2" s="5"/>
      <c r="R2" s="5"/>
      <c r="S2" s="77"/>
      <c r="T2" s="5"/>
      <c r="U2" s="5"/>
      <c r="V2" s="6"/>
      <c r="W2" s="6"/>
      <c r="X2" s="6"/>
      <c r="Y2" s="4"/>
      <c r="Z2" s="4"/>
      <c r="AA2" s="4"/>
      <c r="AB2" s="4"/>
      <c r="AC2" s="4"/>
      <c r="AD2" s="4"/>
      <c r="AE2" s="4"/>
      <c r="AF2" s="77"/>
      <c r="AG2" s="4"/>
      <c r="AH2" s="4"/>
      <c r="AI2" s="4"/>
      <c r="AJ2" s="4"/>
      <c r="AK2" s="4"/>
      <c r="AL2" s="4"/>
      <c r="AM2" s="77"/>
      <c r="AN2" s="77"/>
      <c r="AO2" s="77"/>
      <c r="AP2" s="4"/>
      <c r="AQ2" s="4"/>
      <c r="AR2" s="4"/>
      <c r="AS2" s="4"/>
      <c r="AT2" s="4"/>
      <c r="AU2" s="4"/>
      <c r="AV2" s="5"/>
      <c r="AW2" s="6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8"/>
      <c r="BV2" s="77"/>
      <c r="BW2" s="77"/>
      <c r="BX2" s="77"/>
      <c r="BY2" s="77"/>
      <c r="BZ2" s="77"/>
      <c r="CA2" s="78"/>
    </row>
    <row r="3" spans="1:84" customFormat="1" ht="5.25" customHeight="1" thickBot="1" x14ac:dyDescent="0.3">
      <c r="A3" s="7"/>
      <c r="B3" s="8"/>
      <c r="C3" s="9"/>
      <c r="D3" s="8"/>
      <c r="E3" s="8"/>
      <c r="F3" s="9"/>
      <c r="G3" s="449"/>
      <c r="H3" s="449"/>
      <c r="I3" s="8"/>
      <c r="J3" s="8"/>
      <c r="K3" s="8"/>
      <c r="L3" s="9"/>
      <c r="M3" s="8"/>
      <c r="N3" s="8"/>
      <c r="O3" s="9"/>
      <c r="P3" s="469"/>
      <c r="Q3" s="469"/>
      <c r="R3" s="80"/>
      <c r="S3" s="469"/>
      <c r="T3" s="469"/>
      <c r="U3" s="10"/>
      <c r="V3" s="11"/>
      <c r="W3" s="11"/>
      <c r="X3" s="11"/>
      <c r="Y3" s="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12"/>
      <c r="AW3" s="11"/>
      <c r="AX3" s="79"/>
      <c r="AY3" s="80"/>
      <c r="AZ3" s="80"/>
      <c r="BA3" s="82"/>
      <c r="BB3" s="82"/>
      <c r="BC3" s="80"/>
      <c r="BD3" s="478"/>
      <c r="BE3" s="478"/>
      <c r="BF3" s="80"/>
      <c r="BG3" s="478"/>
      <c r="BH3" s="478"/>
      <c r="BI3" s="80"/>
      <c r="BJ3" s="469"/>
      <c r="BK3" s="469"/>
      <c r="BL3" s="80"/>
      <c r="BM3" s="469"/>
      <c r="BN3" s="469"/>
      <c r="BO3" s="82"/>
      <c r="BP3" s="82"/>
      <c r="BQ3" s="82"/>
      <c r="BR3" s="119"/>
      <c r="BS3" s="119"/>
      <c r="BT3" s="119"/>
      <c r="BU3" s="82"/>
      <c r="BV3" s="82"/>
      <c r="BW3" s="82"/>
      <c r="BX3" s="80"/>
      <c r="BY3" s="469"/>
      <c r="BZ3" s="469"/>
      <c r="CA3" s="81"/>
    </row>
    <row r="4" spans="1:84" customFormat="1" ht="18" customHeight="1" thickBot="1" x14ac:dyDescent="0.3">
      <c r="A4" s="13"/>
      <c r="B4" s="14"/>
      <c r="C4" s="160"/>
      <c r="D4" s="472" t="s">
        <v>158</v>
      </c>
      <c r="E4" s="472"/>
      <c r="F4" s="17"/>
      <c r="G4" s="473" t="s">
        <v>159</v>
      </c>
      <c r="H4" s="473"/>
      <c r="I4" s="15"/>
      <c r="J4" s="470" t="s">
        <v>168</v>
      </c>
      <c r="K4" s="470"/>
      <c r="L4" s="16"/>
      <c r="M4" s="471" t="s">
        <v>169</v>
      </c>
      <c r="N4" s="471"/>
      <c r="O4" s="86"/>
      <c r="P4" s="474" t="s">
        <v>182</v>
      </c>
      <c r="Q4" s="475"/>
      <c r="R4" s="84"/>
      <c r="S4" s="476" t="s">
        <v>170</v>
      </c>
      <c r="T4" s="477"/>
      <c r="U4" s="19"/>
      <c r="V4" s="11"/>
      <c r="W4" s="11"/>
      <c r="X4" s="11"/>
      <c r="Y4" s="13"/>
      <c r="Z4" s="14"/>
      <c r="AA4" s="15"/>
      <c r="AB4" s="458" t="s">
        <v>160</v>
      </c>
      <c r="AC4" s="459"/>
      <c r="AD4" s="15"/>
      <c r="AE4" s="460" t="s">
        <v>161</v>
      </c>
      <c r="AF4" s="460"/>
      <c r="AG4" s="15"/>
      <c r="AH4" s="461" t="s">
        <v>162</v>
      </c>
      <c r="AI4" s="461"/>
      <c r="AJ4" s="15"/>
      <c r="AK4" s="481" t="s">
        <v>163</v>
      </c>
      <c r="AL4" s="482"/>
      <c r="AM4" s="15"/>
      <c r="AN4" s="464" t="s">
        <v>172</v>
      </c>
      <c r="AO4" s="464"/>
      <c r="AP4" s="15"/>
      <c r="AQ4" s="485" t="s">
        <v>173</v>
      </c>
      <c r="AR4" s="485"/>
      <c r="AS4" s="15"/>
      <c r="AT4" s="496" t="s">
        <v>174</v>
      </c>
      <c r="AU4" s="497"/>
      <c r="AV4" s="20"/>
      <c r="AW4" s="21"/>
      <c r="AX4" s="83"/>
      <c r="AY4" s="84"/>
      <c r="AZ4" s="86"/>
      <c r="BA4" s="467" t="s">
        <v>164</v>
      </c>
      <c r="BB4" s="468"/>
      <c r="BC4" s="86"/>
      <c r="BD4" s="465" t="s">
        <v>175</v>
      </c>
      <c r="BE4" s="466"/>
      <c r="BF4" s="86"/>
      <c r="BG4" s="197" t="s">
        <v>165</v>
      </c>
      <c r="BH4" s="198"/>
      <c r="BI4" s="86"/>
      <c r="BJ4" s="462" t="s">
        <v>176</v>
      </c>
      <c r="BK4" s="463"/>
      <c r="BL4" s="84"/>
      <c r="BM4" s="451" t="s">
        <v>177</v>
      </c>
      <c r="BN4" s="452"/>
      <c r="BO4" s="89"/>
      <c r="BP4" s="453" t="s">
        <v>178</v>
      </c>
      <c r="BQ4" s="454"/>
      <c r="BR4" s="89"/>
      <c r="BS4" s="483" t="s">
        <v>179</v>
      </c>
      <c r="BT4" s="484"/>
      <c r="BU4" s="85"/>
      <c r="BV4" s="479" t="s">
        <v>166</v>
      </c>
      <c r="BW4" s="480"/>
      <c r="BX4" s="85"/>
      <c r="BY4" s="455" t="s">
        <v>180</v>
      </c>
      <c r="BZ4" s="456"/>
      <c r="CA4" s="88"/>
    </row>
    <row r="5" spans="1:84" customFormat="1" ht="5.25" customHeight="1" thickBot="1" x14ac:dyDescent="0.3">
      <c r="A5" s="13"/>
      <c r="B5" s="14"/>
      <c r="C5" s="18"/>
      <c r="D5" s="15"/>
      <c r="E5" s="15"/>
      <c r="F5" s="18"/>
      <c r="G5" s="457"/>
      <c r="H5" s="457"/>
      <c r="I5" s="15"/>
      <c r="J5" s="15"/>
      <c r="K5" s="15"/>
      <c r="L5" s="18"/>
      <c r="M5" s="15"/>
      <c r="N5" s="15"/>
      <c r="O5" s="86"/>
      <c r="P5" s="450"/>
      <c r="Q5" s="450"/>
      <c r="R5" s="84"/>
      <c r="S5" s="450"/>
      <c r="T5" s="450"/>
      <c r="U5" s="19"/>
      <c r="V5" s="11"/>
      <c r="W5" s="11"/>
      <c r="X5" s="11"/>
      <c r="Y5" s="13"/>
      <c r="Z5" s="14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20"/>
      <c r="AW5" s="21"/>
      <c r="AX5" s="83"/>
      <c r="AY5" s="84"/>
      <c r="AZ5" s="84"/>
      <c r="BA5" s="90"/>
      <c r="BB5" s="90"/>
      <c r="BC5" s="84"/>
      <c r="BD5" s="449"/>
      <c r="BE5" s="449"/>
      <c r="BF5" s="84"/>
      <c r="BG5" s="449"/>
      <c r="BH5" s="449"/>
      <c r="BI5" s="84"/>
      <c r="BJ5" s="450"/>
      <c r="BK5" s="450"/>
      <c r="BL5" s="84"/>
      <c r="BM5" s="450"/>
      <c r="BN5" s="450"/>
      <c r="BO5" s="90"/>
      <c r="BP5" s="90"/>
      <c r="BQ5" s="90"/>
      <c r="BR5" s="120"/>
      <c r="BS5" s="120"/>
      <c r="BT5" s="120"/>
      <c r="BU5" s="90"/>
      <c r="BV5" s="90"/>
      <c r="BW5" s="90"/>
      <c r="BX5" s="85"/>
      <c r="BY5" s="450"/>
      <c r="BZ5" s="450"/>
      <c r="CA5" s="88"/>
    </row>
    <row r="6" spans="1:84" s="156" customFormat="1" ht="12" customHeight="1" x14ac:dyDescent="0.25">
      <c r="A6" s="83"/>
      <c r="B6" s="93"/>
      <c r="C6" s="16"/>
      <c r="D6" s="424"/>
      <c r="E6" s="424"/>
      <c r="F6" s="86"/>
      <c r="G6" s="225"/>
      <c r="H6" s="225"/>
      <c r="I6" s="84"/>
      <c r="J6" s="225"/>
      <c r="K6" s="225"/>
      <c r="L6" s="86"/>
      <c r="M6" s="225"/>
      <c r="N6" s="225"/>
      <c r="O6" s="16"/>
      <c r="P6" s="225"/>
      <c r="Q6" s="225"/>
      <c r="R6" s="84"/>
      <c r="S6" s="225"/>
      <c r="T6" s="225"/>
      <c r="U6" s="87"/>
      <c r="V6" s="11"/>
      <c r="W6" s="11"/>
      <c r="X6" s="11"/>
      <c r="Y6" s="83"/>
      <c r="Z6" s="93"/>
      <c r="AA6" s="84"/>
      <c r="AB6" s="355"/>
      <c r="AC6" s="356"/>
      <c r="AD6" s="94"/>
      <c r="AE6" s="357"/>
      <c r="AF6" s="266"/>
      <c r="AG6" s="94"/>
      <c r="AH6" s="225"/>
      <c r="AI6" s="225"/>
      <c r="AJ6" s="84"/>
      <c r="AK6" s="242"/>
      <c r="AL6" s="243"/>
      <c r="AM6" s="84"/>
      <c r="AN6" s="242"/>
      <c r="AO6" s="243"/>
      <c r="AP6" s="84"/>
      <c r="AQ6" s="242"/>
      <c r="AR6" s="243"/>
      <c r="AS6" s="84"/>
      <c r="AT6" s="409"/>
      <c r="AU6" s="409"/>
      <c r="AV6" s="95"/>
      <c r="AW6" s="28"/>
      <c r="AX6" s="83"/>
      <c r="AY6" s="93"/>
      <c r="AZ6" s="84"/>
      <c r="BA6" s="180"/>
      <c r="BB6" s="181"/>
      <c r="BC6" s="84"/>
      <c r="BD6" s="180"/>
      <c r="BE6" s="181"/>
      <c r="BF6" s="84"/>
      <c r="BG6" s="174"/>
      <c r="BH6" s="175"/>
      <c r="BI6" s="84"/>
      <c r="BJ6" s="194"/>
      <c r="BK6" s="195"/>
      <c r="BL6" s="84"/>
      <c r="BM6" s="265"/>
      <c r="BN6" s="266"/>
      <c r="BO6" s="84"/>
      <c r="BP6" s="265"/>
      <c r="BQ6" s="266"/>
      <c r="BR6" s="84"/>
      <c r="BS6" s="265"/>
      <c r="BT6" s="266"/>
      <c r="BU6" s="84"/>
      <c r="BV6" s="265"/>
      <c r="BW6" s="266"/>
      <c r="BX6" s="94"/>
      <c r="BY6" s="265"/>
      <c r="BZ6" s="266"/>
      <c r="CA6" s="95"/>
    </row>
    <row r="7" spans="1:84" s="156" customFormat="1" ht="12" customHeight="1" x14ac:dyDescent="0.25">
      <c r="A7" s="83"/>
      <c r="B7" s="96" t="s">
        <v>5</v>
      </c>
      <c r="C7" s="16"/>
      <c r="D7" s="316"/>
      <c r="E7" s="316"/>
      <c r="F7" s="86"/>
      <c r="G7" s="226"/>
      <c r="H7" s="226"/>
      <c r="I7" s="84"/>
      <c r="J7" s="226"/>
      <c r="K7" s="226"/>
      <c r="L7" s="86"/>
      <c r="M7" s="226"/>
      <c r="N7" s="226"/>
      <c r="O7" s="16"/>
      <c r="P7" s="226"/>
      <c r="Q7" s="226"/>
      <c r="R7" s="84"/>
      <c r="S7" s="226"/>
      <c r="T7" s="226"/>
      <c r="U7" s="87"/>
      <c r="V7" s="11"/>
      <c r="W7" s="11"/>
      <c r="X7" s="11"/>
      <c r="Y7" s="83"/>
      <c r="Z7" s="96" t="s">
        <v>5</v>
      </c>
      <c r="AA7" s="84"/>
      <c r="AB7" s="341" t="str">
        <f>IF(AB6="","",VLOOKUP(AB6,mco_99,2,FALSE))</f>
        <v/>
      </c>
      <c r="AC7" s="342"/>
      <c r="AD7" s="91"/>
      <c r="AE7" s="287" t="str">
        <f>IF(AE6="","",VLOOKUP(AE6,mco_101,2,FALSE))</f>
        <v/>
      </c>
      <c r="AF7" s="169"/>
      <c r="AG7" s="91"/>
      <c r="AH7" s="226" t="str">
        <f>IF(AH6="","",VLOOKUP(AH6,mco_101,2,FALSE))</f>
        <v/>
      </c>
      <c r="AI7" s="226"/>
      <c r="AJ7" s="84"/>
      <c r="AK7" s="244" t="str">
        <f>IF(AK6="","",VLOOKUP(AK6,mco_89,2,FALSE))</f>
        <v/>
      </c>
      <c r="AL7" s="245"/>
      <c r="AM7" s="84"/>
      <c r="AN7" s="244" t="str">
        <f>IF(AN6="","",VLOOKUP(AN6,mco_89,2,FALSE))</f>
        <v/>
      </c>
      <c r="AO7" s="245"/>
      <c r="AP7" s="84"/>
      <c r="AQ7" s="244" t="str">
        <f>IF(AQ6="","",VLOOKUP(AQ6,mco_89,2,FALSE))</f>
        <v/>
      </c>
      <c r="AR7" s="245"/>
      <c r="AS7" s="84"/>
      <c r="AT7" s="241" t="str">
        <f>IF(AT6="","",VLOOKUP(AT6,mco_95,2,FALSE))</f>
        <v/>
      </c>
      <c r="AU7" s="241"/>
      <c r="AV7" s="92"/>
      <c r="AW7" s="24"/>
      <c r="AX7" s="83"/>
      <c r="AY7" s="96" t="s">
        <v>5</v>
      </c>
      <c r="AZ7" s="84"/>
      <c r="BA7" s="182" t="str">
        <f>IF(BA6="","",VLOOKUP(BA6,gpme_2,2,FALSE))</f>
        <v/>
      </c>
      <c r="BB7" s="183"/>
      <c r="BC7" s="84"/>
      <c r="BD7" s="182" t="str">
        <f>IF(BD6="","",VLOOKUP(BD6,gpme_1,2,FALSE))</f>
        <v/>
      </c>
      <c r="BE7" s="183"/>
      <c r="BF7" s="84"/>
      <c r="BG7" s="170" t="str">
        <f>IF(BG6="","",VLOOKUP(BG6,ndrc_7,2,FALSE))</f>
        <v/>
      </c>
      <c r="BH7" s="171"/>
      <c r="BI7" s="84"/>
      <c r="BJ7" s="205" t="str">
        <f>IF(BJ6="","",VLOOKUP(BJ6,ndrc_8,2,FALSE))</f>
        <v/>
      </c>
      <c r="BK7" s="206"/>
      <c r="BL7" s="84"/>
      <c r="BM7" s="168" t="str">
        <f>IF(BM6="","",VLOOKUP(BM6,rdc_14,2,FALSE))</f>
        <v/>
      </c>
      <c r="BN7" s="169"/>
      <c r="BO7" s="84"/>
      <c r="BP7" s="168" t="str">
        <f>IF(BP6="","",VLOOKUP(BP6,rh_1,2,FALSE))</f>
        <v/>
      </c>
      <c r="BQ7" s="169"/>
      <c r="BR7" s="84"/>
      <c r="BS7" s="168" t="str">
        <f>IF(BS6="","",VLOOKUP(BS6,rh_1,2,FALSE))</f>
        <v/>
      </c>
      <c r="BT7" s="169"/>
      <c r="BU7" s="84"/>
      <c r="BV7" s="168" t="str">
        <f>IF(BV6="","",VLOOKUP(BV6,m_3,2,FALSE))</f>
        <v/>
      </c>
      <c r="BW7" s="169"/>
      <c r="BX7" s="91"/>
      <c r="BY7" s="168" t="str">
        <f>IF(BY6="","",VLOOKUP(BY6,m_2,2,FALSE))</f>
        <v/>
      </c>
      <c r="BZ7" s="169"/>
      <c r="CA7" s="92"/>
    </row>
    <row r="8" spans="1:84" s="156" customFormat="1" ht="12" customHeight="1" x14ac:dyDescent="0.25">
      <c r="A8" s="83"/>
      <c r="B8" s="147">
        <v>1</v>
      </c>
      <c r="C8" s="16"/>
      <c r="D8" s="312"/>
      <c r="E8" s="312"/>
      <c r="F8" s="86"/>
      <c r="G8" s="226"/>
      <c r="H8" s="226"/>
      <c r="I8" s="84"/>
      <c r="J8" s="226"/>
      <c r="K8" s="226"/>
      <c r="L8" s="86"/>
      <c r="M8" s="226"/>
      <c r="N8" s="226"/>
      <c r="O8" s="16"/>
      <c r="P8" s="226"/>
      <c r="Q8" s="226"/>
      <c r="R8" s="84"/>
      <c r="S8" s="226"/>
      <c r="T8" s="226"/>
      <c r="U8" s="87"/>
      <c r="V8" s="11"/>
      <c r="W8" s="11"/>
      <c r="X8" s="11"/>
      <c r="Y8" s="83"/>
      <c r="Z8" s="147">
        <v>1</v>
      </c>
      <c r="AA8" s="84"/>
      <c r="AB8" s="345"/>
      <c r="AC8" s="346"/>
      <c r="AD8" s="94"/>
      <c r="AE8" s="305"/>
      <c r="AF8" s="169"/>
      <c r="AG8" s="94"/>
      <c r="AH8" s="226"/>
      <c r="AI8" s="226"/>
      <c r="AJ8" s="84"/>
      <c r="AK8" s="246"/>
      <c r="AL8" s="247"/>
      <c r="AM8" s="84"/>
      <c r="AN8" s="246"/>
      <c r="AO8" s="247"/>
      <c r="AP8" s="84"/>
      <c r="AQ8" s="246"/>
      <c r="AR8" s="247"/>
      <c r="AS8" s="84"/>
      <c r="AT8" s="241"/>
      <c r="AU8" s="241"/>
      <c r="AV8" s="95"/>
      <c r="AW8" s="28"/>
      <c r="AX8" s="83"/>
      <c r="AY8" s="147">
        <v>1</v>
      </c>
      <c r="AZ8" s="84"/>
      <c r="BA8" s="182"/>
      <c r="BB8" s="183"/>
      <c r="BC8" s="84"/>
      <c r="BD8" s="182"/>
      <c r="BE8" s="183"/>
      <c r="BF8" s="84"/>
      <c r="BG8" s="176"/>
      <c r="BH8" s="177"/>
      <c r="BI8" s="84"/>
      <c r="BJ8" s="207"/>
      <c r="BK8" s="208"/>
      <c r="BL8" s="84"/>
      <c r="BM8" s="168"/>
      <c r="BN8" s="169"/>
      <c r="BO8" s="84"/>
      <c r="BP8" s="168"/>
      <c r="BQ8" s="169"/>
      <c r="BR8" s="84"/>
      <c r="BS8" s="168"/>
      <c r="BT8" s="169"/>
      <c r="BU8" s="84"/>
      <c r="BV8" s="168"/>
      <c r="BW8" s="169"/>
      <c r="BX8" s="94"/>
      <c r="BY8" s="168"/>
      <c r="BZ8" s="169"/>
      <c r="CA8" s="95"/>
    </row>
    <row r="9" spans="1:84" s="156" customFormat="1" ht="12" customHeight="1" x14ac:dyDescent="0.25">
      <c r="A9" s="83"/>
      <c r="B9" s="147"/>
      <c r="C9" s="16"/>
      <c r="D9" s="159"/>
      <c r="E9" s="161"/>
      <c r="F9" s="86"/>
      <c r="G9" s="226"/>
      <c r="H9" s="226"/>
      <c r="I9" s="84"/>
      <c r="J9" s="226"/>
      <c r="K9" s="226"/>
      <c r="L9" s="86"/>
      <c r="M9" s="226"/>
      <c r="N9" s="226"/>
      <c r="O9" s="16"/>
      <c r="P9" s="226"/>
      <c r="Q9" s="226"/>
      <c r="R9" s="84"/>
      <c r="S9" s="226"/>
      <c r="T9" s="226"/>
      <c r="U9" s="87"/>
      <c r="V9" s="11"/>
      <c r="W9" s="11"/>
      <c r="X9" s="11"/>
      <c r="Y9" s="83"/>
      <c r="Z9" s="147"/>
      <c r="AA9" s="84"/>
      <c r="AB9" s="337"/>
      <c r="AC9" s="338"/>
      <c r="AD9" s="94"/>
      <c r="AE9" s="319"/>
      <c r="AF9" s="320"/>
      <c r="AG9" s="94"/>
      <c r="AH9" s="226"/>
      <c r="AI9" s="226"/>
      <c r="AJ9" s="84"/>
      <c r="AK9" s="145"/>
      <c r="AL9" s="146"/>
      <c r="AM9" s="84"/>
      <c r="AN9" s="145"/>
      <c r="AO9" s="146"/>
      <c r="AP9" s="84"/>
      <c r="AQ9" s="145"/>
      <c r="AR9" s="146"/>
      <c r="AS9" s="84"/>
      <c r="AT9" s="143"/>
      <c r="AU9" s="144"/>
      <c r="AV9" s="95"/>
      <c r="AW9" s="28"/>
      <c r="AX9" s="83"/>
      <c r="AY9" s="147"/>
      <c r="AZ9" s="84"/>
      <c r="BA9" s="141"/>
      <c r="BB9" s="142"/>
      <c r="BC9" s="84"/>
      <c r="BD9" s="141"/>
      <c r="BE9" s="142"/>
      <c r="BF9" s="84"/>
      <c r="BG9" s="178"/>
      <c r="BH9" s="179"/>
      <c r="BI9" s="84"/>
      <c r="BJ9" s="139"/>
      <c r="BK9" s="140"/>
      <c r="BL9" s="84"/>
      <c r="BM9" s="143"/>
      <c r="BN9" s="144"/>
      <c r="BO9" s="84"/>
      <c r="BP9" s="143"/>
      <c r="BQ9" s="144"/>
      <c r="BR9" s="84"/>
      <c r="BS9" s="143"/>
      <c r="BT9" s="144"/>
      <c r="BU9" s="84"/>
      <c r="BV9" s="143"/>
      <c r="BW9" s="144"/>
      <c r="BX9" s="94"/>
      <c r="BY9" s="143"/>
      <c r="BZ9" s="144"/>
      <c r="CA9" s="95"/>
    </row>
    <row r="10" spans="1:84" s="156" customFormat="1" ht="12" customHeight="1" x14ac:dyDescent="0.25">
      <c r="A10" s="83"/>
      <c r="B10" s="147"/>
      <c r="C10" s="16"/>
      <c r="D10" s="302"/>
      <c r="E10" s="302"/>
      <c r="F10" s="86"/>
      <c r="G10" s="226"/>
      <c r="H10" s="226"/>
      <c r="I10" s="84"/>
      <c r="J10" s="226"/>
      <c r="K10" s="226"/>
      <c r="L10" s="86"/>
      <c r="M10" s="226"/>
      <c r="N10" s="226"/>
      <c r="O10" s="16"/>
      <c r="P10" s="226"/>
      <c r="Q10" s="226"/>
      <c r="R10" s="84"/>
      <c r="S10" s="226"/>
      <c r="T10" s="226"/>
      <c r="U10" s="87"/>
      <c r="V10" s="11"/>
      <c r="W10" s="11"/>
      <c r="X10" s="11"/>
      <c r="Y10" s="83"/>
      <c r="Z10" s="147"/>
      <c r="AA10" s="84"/>
      <c r="AB10" s="341" t="str">
        <f>IF(AB9="","",VLOOKUP(AB9,mco_99,2,FALSE))</f>
        <v/>
      </c>
      <c r="AC10" s="342"/>
      <c r="AD10" s="94"/>
      <c r="AE10" s="287" t="str">
        <f>IF(AE9="","",VLOOKUP(AE9,mco_101,2,FALSE))</f>
        <v/>
      </c>
      <c r="AF10" s="169"/>
      <c r="AG10" s="94"/>
      <c r="AH10" s="226" t="str">
        <f>IF(AH9="","",VLOOKUP(AH9,mco_101,2,FALSE))</f>
        <v/>
      </c>
      <c r="AI10" s="226"/>
      <c r="AJ10" s="84"/>
      <c r="AK10" s="246"/>
      <c r="AL10" s="247"/>
      <c r="AM10" s="84"/>
      <c r="AN10" s="246"/>
      <c r="AO10" s="247"/>
      <c r="AP10" s="84"/>
      <c r="AQ10" s="246"/>
      <c r="AR10" s="247"/>
      <c r="AS10" s="84"/>
      <c r="AT10" s="241"/>
      <c r="AU10" s="241"/>
      <c r="AV10" s="95"/>
      <c r="AW10" s="28"/>
      <c r="AX10" s="83"/>
      <c r="AY10" s="147"/>
      <c r="AZ10" s="84"/>
      <c r="BA10" s="182"/>
      <c r="BB10" s="183"/>
      <c r="BC10" s="84"/>
      <c r="BD10" s="182"/>
      <c r="BE10" s="183"/>
      <c r="BF10" s="84"/>
      <c r="BG10" s="170" t="str">
        <f>IF(BG9="","",VLOOKUP(BG9,ndrc_7,2,FALSE))</f>
        <v/>
      </c>
      <c r="BH10" s="171"/>
      <c r="BI10" s="84"/>
      <c r="BJ10" s="207"/>
      <c r="BK10" s="208"/>
      <c r="BL10" s="84"/>
      <c r="BM10" s="168"/>
      <c r="BN10" s="169"/>
      <c r="BO10" s="84"/>
      <c r="BP10" s="168"/>
      <c r="BQ10" s="169"/>
      <c r="BR10" s="84"/>
      <c r="BS10" s="168"/>
      <c r="BT10" s="169"/>
      <c r="BU10" s="84"/>
      <c r="BV10" s="168"/>
      <c r="BW10" s="169"/>
      <c r="BX10" s="94"/>
      <c r="BY10" s="168"/>
      <c r="BZ10" s="169"/>
      <c r="CA10" s="95"/>
    </row>
    <row r="11" spans="1:84" s="156" customFormat="1" ht="12" customHeight="1" thickBot="1" x14ac:dyDescent="0.3">
      <c r="A11" s="83"/>
      <c r="B11" s="147"/>
      <c r="C11" s="16"/>
      <c r="D11" s="316"/>
      <c r="E11" s="316"/>
      <c r="F11" s="86"/>
      <c r="G11" s="281"/>
      <c r="H11" s="281"/>
      <c r="I11" s="84"/>
      <c r="J11" s="281"/>
      <c r="K11" s="281"/>
      <c r="L11" s="86"/>
      <c r="M11" s="281"/>
      <c r="N11" s="281"/>
      <c r="O11" s="16"/>
      <c r="P11" s="281"/>
      <c r="Q11" s="281"/>
      <c r="R11" s="84"/>
      <c r="S11" s="281"/>
      <c r="T11" s="281"/>
      <c r="U11" s="87"/>
      <c r="V11" s="11"/>
      <c r="W11" s="11"/>
      <c r="X11" s="11"/>
      <c r="Y11" s="83"/>
      <c r="Z11" s="147"/>
      <c r="AA11" s="84"/>
      <c r="AB11" s="331"/>
      <c r="AC11" s="332"/>
      <c r="AD11" s="91"/>
      <c r="AE11" s="291"/>
      <c r="AF11" s="292"/>
      <c r="AG11" s="91"/>
      <c r="AH11" s="281"/>
      <c r="AI11" s="281"/>
      <c r="AJ11" s="84"/>
      <c r="AK11" s="244"/>
      <c r="AL11" s="245"/>
      <c r="AM11" s="84"/>
      <c r="AN11" s="244"/>
      <c r="AO11" s="245"/>
      <c r="AP11" s="84"/>
      <c r="AQ11" s="244"/>
      <c r="AR11" s="245"/>
      <c r="AS11" s="84"/>
      <c r="AT11" s="241"/>
      <c r="AU11" s="241"/>
      <c r="AV11" s="92"/>
      <c r="AW11" s="24"/>
      <c r="AX11" s="83"/>
      <c r="AY11" s="147"/>
      <c r="AZ11" s="84"/>
      <c r="BA11" s="182"/>
      <c r="BB11" s="183"/>
      <c r="BC11" s="84"/>
      <c r="BD11" s="182"/>
      <c r="BE11" s="183"/>
      <c r="BF11" s="84"/>
      <c r="BG11" s="172"/>
      <c r="BH11" s="173"/>
      <c r="BI11" s="84"/>
      <c r="BJ11" s="205"/>
      <c r="BK11" s="206"/>
      <c r="BL11" s="84"/>
      <c r="BM11" s="168"/>
      <c r="BN11" s="169"/>
      <c r="BO11" s="84"/>
      <c r="BP11" s="168"/>
      <c r="BQ11" s="169"/>
      <c r="BR11" s="84"/>
      <c r="BS11" s="168"/>
      <c r="BT11" s="169"/>
      <c r="BU11" s="84"/>
      <c r="BV11" s="168"/>
      <c r="BW11" s="169"/>
      <c r="BX11" s="91"/>
      <c r="BY11" s="168"/>
      <c r="BZ11" s="169"/>
      <c r="CA11" s="92"/>
    </row>
    <row r="12" spans="1:84" customFormat="1" ht="12" customHeight="1" x14ac:dyDescent="0.25">
      <c r="A12" s="13"/>
      <c r="B12" s="25"/>
      <c r="C12" s="16"/>
      <c r="D12" s="424"/>
      <c r="E12" s="424"/>
      <c r="F12" s="18"/>
      <c r="G12" s="225"/>
      <c r="H12" s="225"/>
      <c r="I12" s="14"/>
      <c r="J12" s="225"/>
      <c r="K12" s="225"/>
      <c r="L12" s="18"/>
      <c r="M12" s="225"/>
      <c r="N12" s="225"/>
      <c r="O12" s="16"/>
      <c r="P12" s="265"/>
      <c r="Q12" s="266"/>
      <c r="R12" s="84"/>
      <c r="S12" s="265"/>
      <c r="T12" s="266"/>
      <c r="U12" s="19"/>
      <c r="V12" s="11"/>
      <c r="W12" s="11"/>
      <c r="X12" s="11"/>
      <c r="Y12" s="13"/>
      <c r="Z12" s="93"/>
      <c r="AA12" s="14"/>
      <c r="AB12" s="225"/>
      <c r="AC12" s="225"/>
      <c r="AD12" s="26"/>
      <c r="AE12" s="357"/>
      <c r="AF12" s="266"/>
      <c r="AG12" s="26"/>
      <c r="AH12" s="419"/>
      <c r="AI12" s="420"/>
      <c r="AJ12" s="14"/>
      <c r="AK12" s="242"/>
      <c r="AL12" s="243"/>
      <c r="AM12" s="14"/>
      <c r="AN12" s="242"/>
      <c r="AO12" s="243"/>
      <c r="AP12" s="14"/>
      <c r="AQ12" s="242"/>
      <c r="AR12" s="243"/>
      <c r="AS12" s="14"/>
      <c r="AT12" s="409"/>
      <c r="AU12" s="409"/>
      <c r="AV12" s="27"/>
      <c r="AW12" s="28"/>
      <c r="AX12" s="83"/>
      <c r="AY12" s="93"/>
      <c r="AZ12" s="84"/>
      <c r="BA12" s="180"/>
      <c r="BB12" s="181"/>
      <c r="BC12" s="84"/>
      <c r="BD12" s="180"/>
      <c r="BE12" s="181"/>
      <c r="BF12" s="84"/>
      <c r="BG12" s="174"/>
      <c r="BH12" s="175"/>
      <c r="BI12" s="84"/>
      <c r="BJ12" s="194"/>
      <c r="BK12" s="195"/>
      <c r="BL12" s="84"/>
      <c r="BM12" s="265"/>
      <c r="BN12" s="266"/>
      <c r="BO12" s="84"/>
      <c r="BP12" s="265"/>
      <c r="BQ12" s="266"/>
      <c r="BR12" s="84"/>
      <c r="BS12" s="265"/>
      <c r="BT12" s="266"/>
      <c r="BU12" s="84"/>
      <c r="BV12" s="265"/>
      <c r="BW12" s="266"/>
      <c r="BX12" s="94"/>
      <c r="BY12" s="265"/>
      <c r="BZ12" s="266"/>
      <c r="CA12" s="95"/>
    </row>
    <row r="13" spans="1:84" customFormat="1" ht="12" customHeight="1" x14ac:dyDescent="0.25">
      <c r="A13" s="13"/>
      <c r="B13" s="29" t="s">
        <v>6</v>
      </c>
      <c r="C13" s="16"/>
      <c r="D13" s="316"/>
      <c r="E13" s="316"/>
      <c r="F13" s="18"/>
      <c r="G13" s="226"/>
      <c r="H13" s="226"/>
      <c r="I13" s="14"/>
      <c r="J13" s="226"/>
      <c r="K13" s="226"/>
      <c r="L13" s="18"/>
      <c r="M13" s="226"/>
      <c r="N13" s="226"/>
      <c r="O13" s="16"/>
      <c r="P13" s="168"/>
      <c r="Q13" s="169"/>
      <c r="R13" s="84"/>
      <c r="S13" s="168"/>
      <c r="T13" s="169"/>
      <c r="U13" s="19"/>
      <c r="V13" s="11"/>
      <c r="W13" s="11"/>
      <c r="X13" s="11"/>
      <c r="Y13" s="13"/>
      <c r="Z13" s="96" t="s">
        <v>6</v>
      </c>
      <c r="AA13" s="14"/>
      <c r="AB13" s="447" t="str">
        <f>IF(AB12="","",VLOOKUP(AB12,mco_99,2,FALSE))</f>
        <v/>
      </c>
      <c r="AC13" s="448"/>
      <c r="AD13" s="22"/>
      <c r="AE13" s="287" t="str">
        <f>IF(AE12="","",VLOOKUP(AE12,mco_101,2,FALSE))</f>
        <v/>
      </c>
      <c r="AF13" s="169"/>
      <c r="AG13" s="22"/>
      <c r="AH13" s="313" t="str">
        <f>IF(AH12="","",VLOOKUP(AH12,mco_103,2,FALSE))</f>
        <v/>
      </c>
      <c r="AI13" s="314"/>
      <c r="AJ13" s="14"/>
      <c r="AK13" s="244" t="str">
        <f>IF(AK12="","",VLOOKUP(AK12,mco_89,2,FALSE))</f>
        <v/>
      </c>
      <c r="AL13" s="245"/>
      <c r="AM13" s="14"/>
      <c r="AN13" s="244" t="str">
        <f>IF(AN12="","",VLOOKUP(AN12,mco_89,2,FALSE))</f>
        <v/>
      </c>
      <c r="AO13" s="245"/>
      <c r="AP13" s="14"/>
      <c r="AQ13" s="244" t="str">
        <f>IF(AQ12="","",VLOOKUP(AQ12,mco_89,2,FALSE))</f>
        <v/>
      </c>
      <c r="AR13" s="245"/>
      <c r="AS13" s="14"/>
      <c r="AT13" s="241" t="str">
        <f>IF(AT12="","",VLOOKUP(AT12,mco_95,2,FALSE))</f>
        <v/>
      </c>
      <c r="AU13" s="241"/>
      <c r="AV13" s="23"/>
      <c r="AW13" s="24"/>
      <c r="AX13" s="83"/>
      <c r="AY13" s="96" t="s">
        <v>6</v>
      </c>
      <c r="AZ13" s="84"/>
      <c r="BA13" s="182" t="str">
        <f>IF(BA12="","",VLOOKUP(BA12,gpme_2,2,FALSE))</f>
        <v/>
      </c>
      <c r="BB13" s="183"/>
      <c r="BC13" s="84"/>
      <c r="BD13" s="182" t="str">
        <f>IF(BD12="","",VLOOKUP(BD12,gpme_1,2,FALSE))</f>
        <v/>
      </c>
      <c r="BE13" s="183"/>
      <c r="BF13" s="84"/>
      <c r="BG13" s="170" t="str">
        <f>IF(BG12="","",VLOOKUP(BG12,ndrc_7,2,FALSE))</f>
        <v/>
      </c>
      <c r="BH13" s="171"/>
      <c r="BI13" s="84"/>
      <c r="BJ13" s="205" t="str">
        <f>IF(BJ12="","",VLOOKUP(BJ12,ndrc_8,2,FALSE))</f>
        <v/>
      </c>
      <c r="BK13" s="206"/>
      <c r="BL13" s="84"/>
      <c r="BM13" s="168" t="str">
        <f>IF(BM12="","",VLOOKUP(BM12,rdc_14,2,FALSE))</f>
        <v/>
      </c>
      <c r="BN13" s="169"/>
      <c r="BO13" s="84"/>
      <c r="BP13" s="168" t="str">
        <f>IF(BP12="","",VLOOKUP(BP12,rh_1,2,FALSE))</f>
        <v/>
      </c>
      <c r="BQ13" s="169"/>
      <c r="BR13" s="84"/>
      <c r="BS13" s="168" t="str">
        <f>IF(BS12="","",VLOOKUP(BS12,rh_1,2,FALSE))</f>
        <v/>
      </c>
      <c r="BT13" s="169"/>
      <c r="BU13" s="84"/>
      <c r="BV13" s="168" t="str">
        <f>IF(BV12="","",VLOOKUP(BV12,m_3,2,FALSE))</f>
        <v/>
      </c>
      <c r="BW13" s="169"/>
      <c r="BX13" s="91"/>
      <c r="BY13" s="168" t="str">
        <f>IF(BY12="","",VLOOKUP(BY12,m_2,2,FALSE))</f>
        <v/>
      </c>
      <c r="BZ13" s="169"/>
      <c r="CA13" s="92"/>
    </row>
    <row r="14" spans="1:84" customFormat="1" ht="12" customHeight="1" x14ac:dyDescent="0.25">
      <c r="A14" s="13"/>
      <c r="B14" s="30">
        <v>2</v>
      </c>
      <c r="C14" s="16"/>
      <c r="D14" s="312"/>
      <c r="E14" s="312"/>
      <c r="F14" s="18"/>
      <c r="G14" s="226"/>
      <c r="H14" s="226"/>
      <c r="I14" s="14"/>
      <c r="J14" s="226"/>
      <c r="K14" s="226"/>
      <c r="L14" s="18"/>
      <c r="M14" s="226"/>
      <c r="N14" s="226"/>
      <c r="O14" s="16"/>
      <c r="P14" s="168"/>
      <c r="Q14" s="169"/>
      <c r="R14" s="84"/>
      <c r="S14" s="168"/>
      <c r="T14" s="169"/>
      <c r="U14" s="19"/>
      <c r="V14" s="11"/>
      <c r="W14" s="11"/>
      <c r="X14" s="11"/>
      <c r="Y14" s="13"/>
      <c r="Z14" s="147">
        <v>2</v>
      </c>
      <c r="AA14" s="14"/>
      <c r="AB14" s="226"/>
      <c r="AC14" s="226"/>
      <c r="AD14" s="26"/>
      <c r="AE14" s="305"/>
      <c r="AF14" s="169"/>
      <c r="AG14" s="26"/>
      <c r="AH14" s="293"/>
      <c r="AI14" s="294"/>
      <c r="AJ14" s="14"/>
      <c r="AK14" s="246"/>
      <c r="AL14" s="247"/>
      <c r="AM14" s="14"/>
      <c r="AN14" s="246"/>
      <c r="AO14" s="247"/>
      <c r="AP14" s="14"/>
      <c r="AQ14" s="246"/>
      <c r="AR14" s="247"/>
      <c r="AS14" s="14"/>
      <c r="AT14" s="241"/>
      <c r="AU14" s="241"/>
      <c r="AV14" s="27"/>
      <c r="AW14" s="28"/>
      <c r="AX14" s="83"/>
      <c r="AY14" s="147">
        <v>2</v>
      </c>
      <c r="AZ14" s="84"/>
      <c r="BA14" s="182"/>
      <c r="BB14" s="183"/>
      <c r="BC14" s="84"/>
      <c r="BD14" s="182"/>
      <c r="BE14" s="183"/>
      <c r="BF14" s="84"/>
      <c r="BG14" s="176"/>
      <c r="BH14" s="177"/>
      <c r="BI14" s="84"/>
      <c r="BJ14" s="207"/>
      <c r="BK14" s="208"/>
      <c r="BL14" s="84"/>
      <c r="BM14" s="168"/>
      <c r="BN14" s="169"/>
      <c r="BO14" s="84"/>
      <c r="BP14" s="168"/>
      <c r="BQ14" s="169"/>
      <c r="BR14" s="84"/>
      <c r="BS14" s="168"/>
      <c r="BT14" s="169"/>
      <c r="BU14" s="84"/>
      <c r="BV14" s="168"/>
      <c r="BW14" s="169"/>
      <c r="BX14" s="94"/>
      <c r="BY14" s="168"/>
      <c r="BZ14" s="169"/>
      <c r="CA14" s="95"/>
    </row>
    <row r="15" spans="1:84" customFormat="1" ht="12" customHeight="1" x14ac:dyDescent="0.25">
      <c r="A15" s="13"/>
      <c r="B15" s="30"/>
      <c r="C15" s="16"/>
      <c r="D15" s="302"/>
      <c r="E15" s="302"/>
      <c r="F15" s="18"/>
      <c r="G15" s="226"/>
      <c r="H15" s="226"/>
      <c r="I15" s="14"/>
      <c r="J15" s="226"/>
      <c r="K15" s="226"/>
      <c r="L15" s="18"/>
      <c r="M15" s="226"/>
      <c r="N15" s="226"/>
      <c r="O15" s="16"/>
      <c r="P15" s="168"/>
      <c r="Q15" s="169"/>
      <c r="R15" s="84"/>
      <c r="S15" s="168"/>
      <c r="T15" s="169"/>
      <c r="U15" s="19"/>
      <c r="V15" s="11"/>
      <c r="W15" s="11"/>
      <c r="X15" s="11"/>
      <c r="Y15" s="13"/>
      <c r="Z15" s="147"/>
      <c r="AA15" s="14"/>
      <c r="AB15" s="226"/>
      <c r="AC15" s="226"/>
      <c r="AD15" s="26"/>
      <c r="AE15" s="319"/>
      <c r="AF15" s="320"/>
      <c r="AG15" s="26"/>
      <c r="AH15" s="321"/>
      <c r="AI15" s="322"/>
      <c r="AJ15" s="14"/>
      <c r="AK15" s="246"/>
      <c r="AL15" s="247"/>
      <c r="AM15" s="14"/>
      <c r="AN15" s="246"/>
      <c r="AO15" s="247"/>
      <c r="AP15" s="14"/>
      <c r="AQ15" s="246"/>
      <c r="AR15" s="247"/>
      <c r="AS15" s="14"/>
      <c r="AT15" s="241"/>
      <c r="AU15" s="241"/>
      <c r="AV15" s="27"/>
      <c r="AW15" s="28"/>
      <c r="AX15" s="83"/>
      <c r="AY15" s="147"/>
      <c r="AZ15" s="84"/>
      <c r="BA15" s="182"/>
      <c r="BB15" s="183"/>
      <c r="BC15" s="84"/>
      <c r="BD15" s="182"/>
      <c r="BE15" s="183"/>
      <c r="BF15" s="84"/>
      <c r="BG15" s="178"/>
      <c r="BH15" s="179"/>
      <c r="BI15" s="84"/>
      <c r="BJ15" s="207"/>
      <c r="BK15" s="208"/>
      <c r="BL15" s="84"/>
      <c r="BM15" s="168"/>
      <c r="BN15" s="169"/>
      <c r="BO15" s="84"/>
      <c r="BP15" s="168"/>
      <c r="BQ15" s="169"/>
      <c r="BR15" s="84"/>
      <c r="BS15" s="168"/>
      <c r="BT15" s="169"/>
      <c r="BU15" s="84"/>
      <c r="BV15" s="168"/>
      <c r="BW15" s="169"/>
      <c r="BX15" s="94"/>
      <c r="BY15" s="168"/>
      <c r="BZ15" s="169"/>
      <c r="CA15" s="95"/>
    </row>
    <row r="16" spans="1:84" customFormat="1" ht="12" customHeight="1" x14ac:dyDescent="0.25">
      <c r="A16" s="13"/>
      <c r="B16" s="30"/>
      <c r="C16" s="16"/>
      <c r="D16" s="316"/>
      <c r="E16" s="316"/>
      <c r="F16" s="18"/>
      <c r="G16" s="226"/>
      <c r="H16" s="226"/>
      <c r="I16" s="14"/>
      <c r="J16" s="226"/>
      <c r="K16" s="226"/>
      <c r="L16" s="18"/>
      <c r="M16" s="226"/>
      <c r="N16" s="226"/>
      <c r="O16" s="16"/>
      <c r="P16" s="168"/>
      <c r="Q16" s="169"/>
      <c r="R16" s="84"/>
      <c r="S16" s="168"/>
      <c r="T16" s="169"/>
      <c r="U16" s="19"/>
      <c r="V16" s="11"/>
      <c r="W16" s="11"/>
      <c r="X16" s="11"/>
      <c r="Y16" s="13"/>
      <c r="Z16" s="147"/>
      <c r="AA16" s="14"/>
      <c r="AB16" s="226"/>
      <c r="AC16" s="226"/>
      <c r="AD16" s="22"/>
      <c r="AE16" s="287" t="str">
        <f>IF(AE15="","",VLOOKUP(AE15,mco_101,2,FALSE))</f>
        <v/>
      </c>
      <c r="AF16" s="169"/>
      <c r="AG16" s="22"/>
      <c r="AH16" s="313" t="str">
        <f>IF(AH15="","",VLOOKUP(AH15,mco_103,2,FALSE))</f>
        <v/>
      </c>
      <c r="AI16" s="314"/>
      <c r="AJ16" s="14"/>
      <c r="AK16" s="244"/>
      <c r="AL16" s="245"/>
      <c r="AM16" s="14"/>
      <c r="AN16" s="244"/>
      <c r="AO16" s="245"/>
      <c r="AP16" s="14"/>
      <c r="AQ16" s="244"/>
      <c r="AR16" s="245"/>
      <c r="AS16" s="14"/>
      <c r="AT16" s="241"/>
      <c r="AU16" s="241"/>
      <c r="AV16" s="23"/>
      <c r="AW16" s="24"/>
      <c r="AX16" s="83"/>
      <c r="AY16" s="147"/>
      <c r="AZ16" s="84"/>
      <c r="BA16" s="182"/>
      <c r="BB16" s="183"/>
      <c r="BC16" s="84"/>
      <c r="BD16" s="182"/>
      <c r="BE16" s="183"/>
      <c r="BF16" s="84"/>
      <c r="BG16" s="170" t="str">
        <f>IF(BG15="","",VLOOKUP(BG15,ndrc_7,2,FALSE))</f>
        <v/>
      </c>
      <c r="BH16" s="171"/>
      <c r="BI16" s="84"/>
      <c r="BJ16" s="205"/>
      <c r="BK16" s="206"/>
      <c r="BL16" s="84"/>
      <c r="BM16" s="168"/>
      <c r="BN16" s="169"/>
      <c r="BO16" s="84"/>
      <c r="BP16" s="168"/>
      <c r="BQ16" s="169"/>
      <c r="BR16" s="84"/>
      <c r="BS16" s="168"/>
      <c r="BT16" s="169"/>
      <c r="BU16" s="84"/>
      <c r="BV16" s="168"/>
      <c r="BW16" s="169"/>
      <c r="BX16" s="91"/>
      <c r="BY16" s="168"/>
      <c r="BZ16" s="169"/>
      <c r="CA16" s="92"/>
    </row>
    <row r="17" spans="1:79" customFormat="1" ht="12" customHeight="1" thickBot="1" x14ac:dyDescent="0.3">
      <c r="A17" s="13"/>
      <c r="B17" s="32"/>
      <c r="C17" s="16"/>
      <c r="D17" s="282"/>
      <c r="E17" s="282"/>
      <c r="F17" s="18"/>
      <c r="G17" s="281"/>
      <c r="H17" s="281"/>
      <c r="I17" s="14"/>
      <c r="J17" s="281"/>
      <c r="K17" s="281"/>
      <c r="L17" s="18"/>
      <c r="M17" s="281"/>
      <c r="N17" s="281"/>
      <c r="O17" s="16"/>
      <c r="P17" s="263"/>
      <c r="Q17" s="264"/>
      <c r="R17" s="84"/>
      <c r="S17" s="263"/>
      <c r="T17" s="264"/>
      <c r="U17" s="19"/>
      <c r="V17" s="11"/>
      <c r="W17" s="11"/>
      <c r="X17" s="11"/>
      <c r="Y17" s="13"/>
      <c r="Z17" s="98"/>
      <c r="AA17" s="14"/>
      <c r="AB17" s="281"/>
      <c r="AC17" s="281"/>
      <c r="AD17" s="26"/>
      <c r="AE17" s="291"/>
      <c r="AF17" s="292"/>
      <c r="AG17" s="26"/>
      <c r="AH17" s="413"/>
      <c r="AI17" s="414"/>
      <c r="AJ17" s="14"/>
      <c r="AK17" s="248"/>
      <c r="AL17" s="249"/>
      <c r="AM17" s="14"/>
      <c r="AN17" s="248"/>
      <c r="AO17" s="249"/>
      <c r="AP17" s="14"/>
      <c r="AQ17" s="248"/>
      <c r="AR17" s="249"/>
      <c r="AS17" s="14"/>
      <c r="AT17" s="290"/>
      <c r="AU17" s="290"/>
      <c r="AV17" s="27"/>
      <c r="AW17" s="28"/>
      <c r="AX17" s="83"/>
      <c r="AY17" s="98"/>
      <c r="AZ17" s="84"/>
      <c r="BA17" s="184"/>
      <c r="BB17" s="185"/>
      <c r="BC17" s="84"/>
      <c r="BD17" s="184"/>
      <c r="BE17" s="185"/>
      <c r="BF17" s="84"/>
      <c r="BG17" s="172"/>
      <c r="BH17" s="173"/>
      <c r="BI17" s="84"/>
      <c r="BJ17" s="207"/>
      <c r="BK17" s="208"/>
      <c r="BL17" s="84"/>
      <c r="BM17" s="263"/>
      <c r="BN17" s="264"/>
      <c r="BO17" s="84"/>
      <c r="BP17" s="263"/>
      <c r="BQ17" s="264"/>
      <c r="BR17" s="84"/>
      <c r="BS17" s="263"/>
      <c r="BT17" s="264"/>
      <c r="BU17" s="84"/>
      <c r="BV17" s="263"/>
      <c r="BW17" s="264"/>
      <c r="BX17" s="94"/>
      <c r="BY17" s="263"/>
      <c r="BZ17" s="264"/>
      <c r="CA17" s="95"/>
    </row>
    <row r="18" spans="1:79" customFormat="1" ht="12" customHeight="1" x14ac:dyDescent="0.25">
      <c r="A18" s="13"/>
      <c r="B18" s="29"/>
      <c r="C18" s="18"/>
      <c r="D18" s="372"/>
      <c r="E18" s="373"/>
      <c r="F18" s="18"/>
      <c r="G18" s="394"/>
      <c r="H18" s="394"/>
      <c r="I18" s="14"/>
      <c r="J18" s="186"/>
      <c r="K18" s="187"/>
      <c r="L18" s="18"/>
      <c r="M18" s="186"/>
      <c r="N18" s="187"/>
      <c r="O18" s="86"/>
      <c r="P18" s="186"/>
      <c r="Q18" s="187"/>
      <c r="R18" s="84"/>
      <c r="S18" s="265"/>
      <c r="T18" s="266"/>
      <c r="U18" s="19"/>
      <c r="V18" s="11"/>
      <c r="W18" s="11"/>
      <c r="X18" s="11"/>
      <c r="Y18" s="13"/>
      <c r="Z18" s="96"/>
      <c r="AA18" s="14"/>
      <c r="AB18" s="168"/>
      <c r="AC18" s="169"/>
      <c r="AD18" s="22"/>
      <c r="AE18" s="194"/>
      <c r="AF18" s="195"/>
      <c r="AG18" s="22"/>
      <c r="AH18" s="419"/>
      <c r="AI18" s="420"/>
      <c r="AJ18" s="14"/>
      <c r="AK18" s="235"/>
      <c r="AL18" s="236"/>
      <c r="AM18" s="14"/>
      <c r="AN18" s="242"/>
      <c r="AO18" s="243"/>
      <c r="AP18" s="14"/>
      <c r="AQ18" s="242"/>
      <c r="AR18" s="243"/>
      <c r="AS18" s="14"/>
      <c r="AT18" s="242"/>
      <c r="AU18" s="243"/>
      <c r="AV18" s="23"/>
      <c r="AW18" s="24"/>
      <c r="AX18" s="83"/>
      <c r="AY18" s="96"/>
      <c r="AZ18" s="84"/>
      <c r="BA18" s="221"/>
      <c r="BB18" s="222"/>
      <c r="BC18" s="84"/>
      <c r="BD18" s="186"/>
      <c r="BE18" s="187"/>
      <c r="BF18" s="84"/>
      <c r="BG18" s="174"/>
      <c r="BH18" s="175"/>
      <c r="BI18" s="84"/>
      <c r="BJ18" s="186"/>
      <c r="BK18" s="187"/>
      <c r="BL18" s="84"/>
      <c r="BM18" s="265"/>
      <c r="BN18" s="266"/>
      <c r="BO18" s="84"/>
      <c r="BP18" s="265"/>
      <c r="BQ18" s="266"/>
      <c r="BR18" s="84"/>
      <c r="BS18" s="265"/>
      <c r="BT18" s="266"/>
      <c r="BU18" s="84"/>
      <c r="BV18" s="265"/>
      <c r="BW18" s="266"/>
      <c r="BX18" s="91"/>
      <c r="BY18" s="265"/>
      <c r="BZ18" s="266"/>
      <c r="CA18" s="92"/>
    </row>
    <row r="19" spans="1:79" customFormat="1" ht="12" customHeight="1" x14ac:dyDescent="0.25">
      <c r="A19" s="13"/>
      <c r="B19" s="96" t="s">
        <v>157</v>
      </c>
      <c r="C19" s="18"/>
      <c r="D19" s="366"/>
      <c r="E19" s="367"/>
      <c r="F19" s="18"/>
      <c r="G19" s="379"/>
      <c r="H19" s="379"/>
      <c r="I19" s="14"/>
      <c r="J19" s="164"/>
      <c r="K19" s="165"/>
      <c r="L19" s="18"/>
      <c r="M19" s="164"/>
      <c r="N19" s="165"/>
      <c r="O19" s="86"/>
      <c r="P19" s="164"/>
      <c r="Q19" s="165"/>
      <c r="R19" s="84"/>
      <c r="S19" s="168"/>
      <c r="T19" s="169"/>
      <c r="U19" s="19"/>
      <c r="V19" s="11"/>
      <c r="W19" s="11"/>
      <c r="X19" s="11"/>
      <c r="Y19" s="13"/>
      <c r="Z19" s="96" t="s">
        <v>157</v>
      </c>
      <c r="AA19" s="14"/>
      <c r="AB19" s="168" t="str">
        <f>IF(AB18="","",VLOOKUP(AB18,mco_99,2,FALSE))</f>
        <v/>
      </c>
      <c r="AC19" s="169"/>
      <c r="AD19" s="26"/>
      <c r="AE19" s="205" t="str">
        <f>IF(AE18="","",VLOOKUP(AE18,mco_101,2,FALSE))</f>
        <v/>
      </c>
      <c r="AF19" s="206"/>
      <c r="AG19" s="26"/>
      <c r="AH19" s="313" t="str">
        <f>IF(AH18="","",VLOOKUP(AH18,mco_103,2,FALSE))</f>
        <v/>
      </c>
      <c r="AI19" s="314"/>
      <c r="AJ19" s="14"/>
      <c r="AK19" s="228" t="str">
        <f>IF(AK18="","",VLOOKUP(AK18,mco_105,2,FALSE))</f>
        <v/>
      </c>
      <c r="AL19" s="229"/>
      <c r="AM19" s="14"/>
      <c r="AN19" s="244" t="str">
        <f>IF(AN18="","",VLOOKUP(AN18,mco_89,2,FALSE))</f>
        <v/>
      </c>
      <c r="AO19" s="245"/>
      <c r="AP19" s="14"/>
      <c r="AQ19" s="244" t="str">
        <f>IF(AQ18="","",VLOOKUP(AQ18,mco_91,2,FALSE))</f>
        <v/>
      </c>
      <c r="AR19" s="245"/>
      <c r="AS19" s="14"/>
      <c r="AT19" s="244" t="str">
        <f>IF(AT18="","",VLOOKUP(AT18,mco_91,2,FALSE))</f>
        <v/>
      </c>
      <c r="AU19" s="245"/>
      <c r="AV19" s="27"/>
      <c r="AW19" s="28"/>
      <c r="AX19" s="83"/>
      <c r="AY19" s="96" t="s">
        <v>157</v>
      </c>
      <c r="AZ19" s="84"/>
      <c r="BA19" s="213" t="str">
        <f>IF(BA18="","",VLOOKUP(BA18,gpme_2,2,FALSE))</f>
        <v/>
      </c>
      <c r="BB19" s="214"/>
      <c r="BC19" s="84"/>
      <c r="BD19" s="164" t="str">
        <f>IF(BD18="","",VLOOKUP(BD18,ndrc_8,2,FALSE))</f>
        <v/>
      </c>
      <c r="BE19" s="165"/>
      <c r="BF19" s="84"/>
      <c r="BG19" s="170" t="str">
        <f>IF(BG18="","",VLOOKUP(BG18,ndrc_7,2,FALSE))</f>
        <v/>
      </c>
      <c r="BH19" s="171"/>
      <c r="BI19" s="84"/>
      <c r="BJ19" s="164" t="str">
        <f>IF(BJ18="","",VLOOKUP(BJ18,ndrc_8,2,FALSE))</f>
        <v/>
      </c>
      <c r="BK19" s="165"/>
      <c r="BL19" s="84"/>
      <c r="BM19" s="168" t="str">
        <f>IF(BM18="","",VLOOKUP(BM18,rdc_14,2,FALSE))</f>
        <v/>
      </c>
      <c r="BN19" s="169"/>
      <c r="BO19" s="84"/>
      <c r="BP19" s="168" t="str">
        <f>IF(BP18="","",VLOOKUP(BP18,rh_1,2,FALSE))</f>
        <v/>
      </c>
      <c r="BQ19" s="169"/>
      <c r="BR19" s="84"/>
      <c r="BS19" s="168" t="str">
        <f>IF(BS18="","",VLOOKUP(BS18,rh_1,2,FALSE))</f>
        <v/>
      </c>
      <c r="BT19" s="169"/>
      <c r="BU19" s="84"/>
      <c r="BV19" s="168" t="str">
        <f>IF(BV18="","",VLOOKUP(BV18,m_3,2,FALSE))</f>
        <v/>
      </c>
      <c r="BW19" s="169"/>
      <c r="BX19" s="94"/>
      <c r="BY19" s="168" t="str">
        <f>IF(BY18="","",VLOOKUP(BY18,m_2,2,FALSE))</f>
        <v/>
      </c>
      <c r="BZ19" s="169"/>
      <c r="CA19" s="95"/>
    </row>
    <row r="20" spans="1:79" customFormat="1" ht="13.15" customHeight="1" x14ac:dyDescent="0.25">
      <c r="A20" s="13"/>
      <c r="B20" s="118">
        <v>3</v>
      </c>
      <c r="C20" s="18"/>
      <c r="D20" s="366"/>
      <c r="E20" s="367"/>
      <c r="F20" s="18"/>
      <c r="G20" s="387"/>
      <c r="H20" s="387"/>
      <c r="I20" s="14"/>
      <c r="J20" s="182"/>
      <c r="K20" s="183"/>
      <c r="L20" s="18"/>
      <c r="M20" s="182"/>
      <c r="N20" s="183"/>
      <c r="O20" s="86"/>
      <c r="P20" s="182"/>
      <c r="Q20" s="183"/>
      <c r="R20" s="84"/>
      <c r="S20" s="168"/>
      <c r="T20" s="169"/>
      <c r="U20" s="19"/>
      <c r="V20" s="11"/>
      <c r="W20" s="11"/>
      <c r="X20" s="11"/>
      <c r="Y20" s="13"/>
      <c r="Z20" s="147">
        <v>3</v>
      </c>
      <c r="AA20" s="14"/>
      <c r="AB20" s="168"/>
      <c r="AC20" s="169"/>
      <c r="AD20" s="26"/>
      <c r="AE20" s="207"/>
      <c r="AF20" s="208"/>
      <c r="AG20" s="26"/>
      <c r="AH20" s="293"/>
      <c r="AI20" s="294"/>
      <c r="AJ20" s="14"/>
      <c r="AK20" s="237"/>
      <c r="AL20" s="238"/>
      <c r="AM20" s="14"/>
      <c r="AN20" s="246"/>
      <c r="AO20" s="247"/>
      <c r="AP20" s="14"/>
      <c r="AQ20" s="246"/>
      <c r="AR20" s="247"/>
      <c r="AS20" s="14"/>
      <c r="AT20" s="246"/>
      <c r="AU20" s="247"/>
      <c r="AV20" s="27"/>
      <c r="AW20" s="28"/>
      <c r="AX20" s="83"/>
      <c r="AY20" s="147">
        <v>3</v>
      </c>
      <c r="AZ20" s="84"/>
      <c r="BA20" s="215"/>
      <c r="BB20" s="216"/>
      <c r="BC20" s="84"/>
      <c r="BD20" s="164"/>
      <c r="BE20" s="165"/>
      <c r="BF20" s="84"/>
      <c r="BG20" s="176"/>
      <c r="BH20" s="177"/>
      <c r="BI20" s="84"/>
      <c r="BJ20" s="164"/>
      <c r="BK20" s="165"/>
      <c r="BL20" s="84"/>
      <c r="BM20" s="168"/>
      <c r="BN20" s="169"/>
      <c r="BO20" s="84"/>
      <c r="BP20" s="168"/>
      <c r="BQ20" s="169"/>
      <c r="BR20" s="84"/>
      <c r="BS20" s="168"/>
      <c r="BT20" s="169"/>
      <c r="BU20" s="84"/>
      <c r="BV20" s="168"/>
      <c r="BW20" s="169"/>
      <c r="BX20" s="94"/>
      <c r="BY20" s="168"/>
      <c r="BZ20" s="169"/>
      <c r="CA20" s="95"/>
    </row>
    <row r="21" spans="1:79" customFormat="1" ht="12" customHeight="1" x14ac:dyDescent="0.25">
      <c r="A21" s="13"/>
      <c r="B21" s="118"/>
      <c r="C21" s="18"/>
      <c r="D21" s="366"/>
      <c r="E21" s="367"/>
      <c r="F21" s="18"/>
      <c r="G21" s="385"/>
      <c r="H21" s="385"/>
      <c r="I21" s="14"/>
      <c r="J21" s="182"/>
      <c r="K21" s="183"/>
      <c r="L21" s="18"/>
      <c r="M21" s="182"/>
      <c r="N21" s="183"/>
      <c r="O21" s="86"/>
      <c r="P21" s="182"/>
      <c r="Q21" s="183"/>
      <c r="R21" s="84"/>
      <c r="S21" s="168"/>
      <c r="T21" s="169"/>
      <c r="U21" s="19"/>
      <c r="V21" s="11"/>
      <c r="W21" s="11"/>
      <c r="X21" s="11"/>
      <c r="Y21" s="13"/>
      <c r="Z21" s="147"/>
      <c r="AA21" s="14"/>
      <c r="AB21" s="168"/>
      <c r="AC21" s="169"/>
      <c r="AD21" s="22"/>
      <c r="AE21" s="207"/>
      <c r="AF21" s="208"/>
      <c r="AG21" s="22"/>
      <c r="AH21" s="321"/>
      <c r="AI21" s="322"/>
      <c r="AJ21" s="14"/>
      <c r="AK21" s="239"/>
      <c r="AL21" s="240"/>
      <c r="AM21" s="14"/>
      <c r="AN21" s="246"/>
      <c r="AO21" s="247"/>
      <c r="AP21" s="14"/>
      <c r="AQ21" s="246"/>
      <c r="AR21" s="247"/>
      <c r="AS21" s="14"/>
      <c r="AT21" s="246"/>
      <c r="AU21" s="247"/>
      <c r="AV21" s="23"/>
      <c r="AW21" s="24"/>
      <c r="AX21" s="83"/>
      <c r="AY21" s="147"/>
      <c r="AZ21" s="84"/>
      <c r="BA21" s="217"/>
      <c r="BB21" s="218"/>
      <c r="BC21" s="84"/>
      <c r="BD21" s="164"/>
      <c r="BE21" s="165"/>
      <c r="BF21" s="84"/>
      <c r="BG21" s="178"/>
      <c r="BH21" s="179"/>
      <c r="BI21" s="84"/>
      <c r="BJ21" s="164"/>
      <c r="BK21" s="165"/>
      <c r="BL21" s="84"/>
      <c r="BM21" s="168"/>
      <c r="BN21" s="169"/>
      <c r="BO21" s="84"/>
      <c r="BP21" s="168"/>
      <c r="BQ21" s="169"/>
      <c r="BR21" s="84"/>
      <c r="BS21" s="168"/>
      <c r="BT21" s="169"/>
      <c r="BU21" s="84"/>
      <c r="BV21" s="168"/>
      <c r="BW21" s="169"/>
      <c r="BX21" s="91"/>
      <c r="BY21" s="168"/>
      <c r="BZ21" s="169"/>
      <c r="CA21" s="92"/>
    </row>
    <row r="22" spans="1:79" s="69" customFormat="1" ht="12" customHeight="1" x14ac:dyDescent="0.25">
      <c r="A22" s="13"/>
      <c r="B22" s="68"/>
      <c r="C22" s="18"/>
      <c r="D22" s="164"/>
      <c r="E22" s="165"/>
      <c r="F22" s="18"/>
      <c r="G22" s="379"/>
      <c r="H22" s="379"/>
      <c r="I22" s="14"/>
      <c r="J22" s="164"/>
      <c r="K22" s="165"/>
      <c r="L22" s="18"/>
      <c r="M22" s="164"/>
      <c r="N22" s="165"/>
      <c r="O22" s="86"/>
      <c r="P22" s="164"/>
      <c r="Q22" s="165"/>
      <c r="R22" s="84"/>
      <c r="S22" s="168"/>
      <c r="T22" s="169"/>
      <c r="U22" s="19"/>
      <c r="V22" s="11"/>
      <c r="W22" s="11"/>
      <c r="X22" s="11"/>
      <c r="Y22" s="13"/>
      <c r="Z22" s="147"/>
      <c r="AA22" s="14"/>
      <c r="AB22" s="168" t="str">
        <f>IF(AB21="","",VLOOKUP(AB21,mco_99,2,FALSE))</f>
        <v/>
      </c>
      <c r="AC22" s="169"/>
      <c r="AD22" s="22"/>
      <c r="AE22" s="205" t="str">
        <f>IF(AE21="","",VLOOKUP(AE21,mco_101,2,FALSE))</f>
        <v/>
      </c>
      <c r="AF22" s="206"/>
      <c r="AG22" s="22"/>
      <c r="AH22" s="313" t="str">
        <f>IF(AH21="","",VLOOKUP(AH21,mco_103,2,FALSE))</f>
        <v/>
      </c>
      <c r="AI22" s="314"/>
      <c r="AJ22" s="14"/>
      <c r="AK22" s="228" t="str">
        <f>IF(AK21="","",VLOOKUP(AK21,mco_105,2,FALSE))</f>
        <v/>
      </c>
      <c r="AL22" s="229"/>
      <c r="AM22" s="14"/>
      <c r="AN22" s="244" t="str">
        <f>IF(AN21="","",VLOOKUP(AN21,mco_89,2,FALSE))</f>
        <v/>
      </c>
      <c r="AO22" s="245"/>
      <c r="AP22" s="14"/>
      <c r="AQ22" s="244" t="str">
        <f>IF(AQ21="","",VLOOKUP(AQ21,mco_91,2,FALSE))</f>
        <v/>
      </c>
      <c r="AR22" s="245"/>
      <c r="AS22" s="14"/>
      <c r="AT22" s="244" t="str">
        <f>IF(AT21="","",VLOOKUP(AT21,mco_91,2,FALSE))</f>
        <v/>
      </c>
      <c r="AU22" s="245"/>
      <c r="AV22" s="23"/>
      <c r="AW22" s="24"/>
      <c r="AX22" s="83"/>
      <c r="AY22" s="147"/>
      <c r="AZ22" s="107"/>
      <c r="BA22" s="213" t="str">
        <f>IF(BA21="","",VLOOKUP(BA21,gpme_2,2,FALSE))</f>
        <v/>
      </c>
      <c r="BB22" s="214"/>
      <c r="BC22" s="84"/>
      <c r="BD22" s="182" t="str">
        <f>IF(BD21="","",VLOOKUP(BD21,ndrc_8,2,FALSE))</f>
        <v/>
      </c>
      <c r="BE22" s="183"/>
      <c r="BF22" s="108"/>
      <c r="BG22" s="170" t="str">
        <f>IF(BG21="","",VLOOKUP(BG21,ndrc_7,2,FALSE))</f>
        <v/>
      </c>
      <c r="BH22" s="171"/>
      <c r="BI22" s="108"/>
      <c r="BJ22" s="182" t="str">
        <f>IF(BJ21="","",VLOOKUP(BJ21,ndrc_8,2,FALSE))</f>
        <v/>
      </c>
      <c r="BK22" s="183"/>
      <c r="BL22" s="84"/>
      <c r="BM22" s="168" t="str">
        <f>IF(BM21="","",VLOOKUP(BM21,rdc_14,2,FALSE))</f>
        <v/>
      </c>
      <c r="BN22" s="169"/>
      <c r="BO22" s="84"/>
      <c r="BP22" s="168" t="str">
        <f>IF(BP21="","",VLOOKUP(BP21,rh_1,2,FALSE))</f>
        <v/>
      </c>
      <c r="BQ22" s="169"/>
      <c r="BR22" s="84"/>
      <c r="BS22" s="168" t="str">
        <f>IF(BS21="","",VLOOKUP(BS21,rh_1,2,FALSE))</f>
        <v/>
      </c>
      <c r="BT22" s="169"/>
      <c r="BU22" s="84"/>
      <c r="BV22" s="168" t="str">
        <f>IF(BV21="","",VLOOKUP(BV21,m_3,2,FALSE))</f>
        <v/>
      </c>
      <c r="BW22" s="169"/>
      <c r="BX22" s="91"/>
      <c r="BY22" s="168" t="str">
        <f>IF(BY21="","",VLOOKUP(BY21,m_2,2,FALSE))</f>
        <v/>
      </c>
      <c r="BZ22" s="169"/>
      <c r="CA22" s="92"/>
    </row>
    <row r="23" spans="1:79" customFormat="1" ht="12" customHeight="1" thickBot="1" x14ac:dyDescent="0.3">
      <c r="A23" s="13"/>
      <c r="B23" s="32"/>
      <c r="C23" s="18"/>
      <c r="D23" s="364"/>
      <c r="E23" s="365"/>
      <c r="F23" s="18"/>
      <c r="G23" s="377"/>
      <c r="H23" s="377"/>
      <c r="I23" s="14"/>
      <c r="J23" s="184"/>
      <c r="K23" s="185"/>
      <c r="L23" s="18"/>
      <c r="M23" s="184"/>
      <c r="N23" s="185"/>
      <c r="O23" s="86"/>
      <c r="P23" s="184"/>
      <c r="Q23" s="185"/>
      <c r="R23" s="84"/>
      <c r="S23" s="263"/>
      <c r="T23" s="264"/>
      <c r="U23" s="19"/>
      <c r="V23" s="11"/>
      <c r="W23" s="11"/>
      <c r="X23" s="11"/>
      <c r="Y23" s="13"/>
      <c r="Z23" s="98"/>
      <c r="AA23" s="14"/>
      <c r="AB23" s="263"/>
      <c r="AC23" s="264"/>
      <c r="AD23" s="26"/>
      <c r="AE23" s="209"/>
      <c r="AF23" s="210"/>
      <c r="AG23" s="26"/>
      <c r="AH23" s="413"/>
      <c r="AI23" s="414"/>
      <c r="AJ23" s="14"/>
      <c r="AK23" s="223"/>
      <c r="AL23" s="224"/>
      <c r="AM23" s="14"/>
      <c r="AN23" s="248"/>
      <c r="AO23" s="249"/>
      <c r="AP23" s="14"/>
      <c r="AQ23" s="248"/>
      <c r="AR23" s="249"/>
      <c r="AS23" s="14"/>
      <c r="AT23" s="248"/>
      <c r="AU23" s="249"/>
      <c r="AV23" s="27"/>
      <c r="AW23" s="28"/>
      <c r="AX23" s="83"/>
      <c r="AY23" s="98"/>
      <c r="AZ23" s="84"/>
      <c r="BA23" s="219"/>
      <c r="BB23" s="220"/>
      <c r="BC23" s="84"/>
      <c r="BD23" s="199"/>
      <c r="BE23" s="200"/>
      <c r="BF23" s="84"/>
      <c r="BG23" s="172"/>
      <c r="BH23" s="173"/>
      <c r="BI23" s="84"/>
      <c r="BJ23" s="199"/>
      <c r="BK23" s="200"/>
      <c r="BL23" s="84"/>
      <c r="BM23" s="263"/>
      <c r="BN23" s="264"/>
      <c r="BO23" s="84"/>
      <c r="BP23" s="263"/>
      <c r="BQ23" s="264"/>
      <c r="BR23" s="84"/>
      <c r="BS23" s="263"/>
      <c r="BT23" s="264"/>
      <c r="BU23" s="84"/>
      <c r="BV23" s="263"/>
      <c r="BW23" s="264"/>
      <c r="BX23" s="94"/>
      <c r="BY23" s="263"/>
      <c r="BZ23" s="264"/>
      <c r="CA23" s="95"/>
    </row>
    <row r="24" spans="1:79" customFormat="1" ht="11.45" customHeight="1" x14ac:dyDescent="0.25">
      <c r="A24" s="13"/>
      <c r="B24" s="25"/>
      <c r="C24" s="16"/>
      <c r="D24" s="409"/>
      <c r="E24" s="409"/>
      <c r="F24" s="16"/>
      <c r="G24" s="394"/>
      <c r="H24" s="394"/>
      <c r="I24" s="14"/>
      <c r="J24" s="186"/>
      <c r="K24" s="187"/>
      <c r="L24" s="16"/>
      <c r="M24" s="186"/>
      <c r="N24" s="187"/>
      <c r="O24" s="16"/>
      <c r="P24" s="265"/>
      <c r="Q24" s="266"/>
      <c r="R24" s="84"/>
      <c r="S24" s="265"/>
      <c r="T24" s="266"/>
      <c r="U24" s="19"/>
      <c r="V24" s="11"/>
      <c r="W24" s="11"/>
      <c r="X24" s="11"/>
      <c r="Y24" s="13"/>
      <c r="Z24" s="93"/>
      <c r="AA24" s="14"/>
      <c r="AB24" s="409"/>
      <c r="AC24" s="409"/>
      <c r="AD24" s="26"/>
      <c r="AE24" s="225"/>
      <c r="AF24" s="225"/>
      <c r="AG24" s="26"/>
      <c r="AH24" s="225"/>
      <c r="AI24" s="225"/>
      <c r="AJ24" s="14"/>
      <c r="AK24" s="148"/>
      <c r="AL24" s="149"/>
      <c r="AM24" s="14"/>
      <c r="AN24" s="194"/>
      <c r="AO24" s="195"/>
      <c r="AP24" s="14"/>
      <c r="AQ24" s="194"/>
      <c r="AR24" s="195"/>
      <c r="AS24" s="14"/>
      <c r="AT24" s="194"/>
      <c r="AU24" s="195"/>
      <c r="AV24" s="27"/>
      <c r="AW24" s="28"/>
      <c r="AX24" s="83"/>
      <c r="AY24" s="93"/>
      <c r="AZ24" s="84"/>
      <c r="BA24" s="221"/>
      <c r="BB24" s="222"/>
      <c r="BC24" s="84"/>
      <c r="BD24" s="192"/>
      <c r="BE24" s="193"/>
      <c r="BF24" s="84"/>
      <c r="BG24" s="174"/>
      <c r="BH24" s="175"/>
      <c r="BI24" s="84"/>
      <c r="BJ24" s="192"/>
      <c r="BK24" s="193"/>
      <c r="BL24" s="84"/>
      <c r="BM24" s="399"/>
      <c r="BN24" s="400"/>
      <c r="BO24" s="84"/>
      <c r="BP24" s="194"/>
      <c r="BQ24" s="195"/>
      <c r="BR24" s="84"/>
      <c r="BS24" s="194"/>
      <c r="BT24" s="195"/>
      <c r="BU24" s="84"/>
      <c r="BV24" s="265"/>
      <c r="BW24" s="266"/>
      <c r="BX24" s="94"/>
      <c r="BY24" s="265"/>
      <c r="BZ24" s="266"/>
      <c r="CA24" s="95"/>
    </row>
    <row r="25" spans="1:79" customFormat="1" ht="11.45" customHeight="1" x14ac:dyDescent="0.25">
      <c r="A25" s="13"/>
      <c r="B25" s="29" t="s">
        <v>7</v>
      </c>
      <c r="C25" s="16"/>
      <c r="D25" s="241"/>
      <c r="E25" s="241"/>
      <c r="F25" s="16"/>
      <c r="G25" s="379"/>
      <c r="H25" s="379"/>
      <c r="I25" s="14"/>
      <c r="J25" s="164"/>
      <c r="K25" s="165"/>
      <c r="L25" s="16"/>
      <c r="M25" s="164"/>
      <c r="N25" s="165"/>
      <c r="O25" s="16"/>
      <c r="P25" s="168"/>
      <c r="Q25" s="169"/>
      <c r="R25" s="84"/>
      <c r="S25" s="168"/>
      <c r="T25" s="169"/>
      <c r="U25" s="19"/>
      <c r="V25" s="11"/>
      <c r="W25" s="11"/>
      <c r="X25" s="11"/>
      <c r="Y25" s="13"/>
      <c r="Z25" s="96" t="s">
        <v>7</v>
      </c>
      <c r="AA25" s="14"/>
      <c r="AB25" s="241" t="str">
        <f>IF(AB24="","",VLOOKUP(AB24,mco_99,2,FALSE))</f>
        <v/>
      </c>
      <c r="AC25" s="241"/>
      <c r="AD25" s="22"/>
      <c r="AE25" s="226" t="str">
        <f>IF(AE24="","",VLOOKUP(AE24,mco_101,2,FALSE))</f>
        <v/>
      </c>
      <c r="AF25" s="226"/>
      <c r="AG25" s="22"/>
      <c r="AH25" s="226" t="str">
        <f>IF(AH24="","",VLOOKUP(AH24,mco_101,2,FALSE))</f>
        <v/>
      </c>
      <c r="AI25" s="226"/>
      <c r="AJ25" s="14"/>
      <c r="AK25" s="150" t="str">
        <f>IF(AK24="","",VLOOKUP(AK24,mco_105,2,FALSE))</f>
        <v/>
      </c>
      <c r="AL25" s="151"/>
      <c r="AM25" s="14"/>
      <c r="AN25" s="205" t="str">
        <f>IF(AN24="","",VLOOKUP(AN24,mco_89,2,FALSE))</f>
        <v/>
      </c>
      <c r="AO25" s="206"/>
      <c r="AP25" s="14"/>
      <c r="AQ25" s="205" t="str">
        <f>IF(AQ24="","",VLOOKUP(AQ24,mco_91,2,FALSE))</f>
        <v/>
      </c>
      <c r="AR25" s="206"/>
      <c r="AS25" s="14"/>
      <c r="AT25" s="205" t="str">
        <f>IF(AT24="","",VLOOKUP(AT24,mco_93,2,FALSE))</f>
        <v/>
      </c>
      <c r="AU25" s="206"/>
      <c r="AV25" s="23"/>
      <c r="AW25" s="24"/>
      <c r="AX25" s="83"/>
      <c r="AY25" s="96" t="s">
        <v>7</v>
      </c>
      <c r="AZ25" s="84"/>
      <c r="BA25" s="213" t="str">
        <f>IF(BA24="","",VLOOKUP(BA24,gpme_2,2,FALSE))</f>
        <v/>
      </c>
      <c r="BB25" s="214"/>
      <c r="BC25" s="84"/>
      <c r="BD25" s="190" t="str">
        <f>IF(BD24="","",VLOOKUP(BD24,ndrc_7,2,FALSE))</f>
        <v/>
      </c>
      <c r="BE25" s="191"/>
      <c r="BF25" s="84"/>
      <c r="BG25" s="170" t="str">
        <f>IF(BG24="","",VLOOKUP(BG24,ndrc_7,2,FALSE))</f>
        <v/>
      </c>
      <c r="BH25" s="171"/>
      <c r="BI25" s="84"/>
      <c r="BJ25" s="190" t="str">
        <f>IF(BJ24="","",VLOOKUP(BJ24,ndrc_6,2,FALSE))</f>
        <v/>
      </c>
      <c r="BK25" s="191"/>
      <c r="BL25" s="84"/>
      <c r="BM25" s="374" t="str">
        <f>IF(BM24="","",VLOOKUP(BM24,rdc_14,2,FALSE))</f>
        <v/>
      </c>
      <c r="BN25" s="375"/>
      <c r="BO25" s="84"/>
      <c r="BP25" s="205" t="str">
        <f>IF(BP24="","",VLOOKUP(BP24,rh_1,2,FALSE))</f>
        <v/>
      </c>
      <c r="BQ25" s="206"/>
      <c r="BR25" s="84"/>
      <c r="BS25" s="205" t="str">
        <f>IF(BS24="","",VLOOKUP(BS24,rh_1,2,FALSE))</f>
        <v/>
      </c>
      <c r="BT25" s="206"/>
      <c r="BU25" s="84"/>
      <c r="BV25" s="168" t="str">
        <f>IF(BV24="","",VLOOKUP(BV24,m_3,2,FALSE))</f>
        <v/>
      </c>
      <c r="BW25" s="169"/>
      <c r="BX25" s="91"/>
      <c r="BY25" s="168" t="str">
        <f>IF(BY24="","",VLOOKUP(BY24,m_2,2,FALSE))</f>
        <v/>
      </c>
      <c r="BZ25" s="169"/>
      <c r="CA25" s="92"/>
    </row>
    <row r="26" spans="1:79" customFormat="1" ht="11.45" customHeight="1" x14ac:dyDescent="0.25">
      <c r="A26" s="13"/>
      <c r="B26" s="30">
        <v>4</v>
      </c>
      <c r="C26" s="16"/>
      <c r="D26" s="241"/>
      <c r="E26" s="241"/>
      <c r="F26" s="16"/>
      <c r="G26" s="387"/>
      <c r="H26" s="387"/>
      <c r="I26" s="14"/>
      <c r="J26" s="182"/>
      <c r="K26" s="183"/>
      <c r="L26" s="16"/>
      <c r="M26" s="182"/>
      <c r="N26" s="183"/>
      <c r="O26" s="16"/>
      <c r="P26" s="168"/>
      <c r="Q26" s="169"/>
      <c r="R26" s="84"/>
      <c r="S26" s="168"/>
      <c r="T26" s="169"/>
      <c r="U26" s="19"/>
      <c r="V26" s="11"/>
      <c r="W26" s="11"/>
      <c r="X26" s="11"/>
      <c r="Y26" s="13"/>
      <c r="Z26" s="147">
        <v>4</v>
      </c>
      <c r="AA26" s="14"/>
      <c r="AB26" s="241"/>
      <c r="AC26" s="241"/>
      <c r="AD26" s="26"/>
      <c r="AE26" s="226"/>
      <c r="AF26" s="226"/>
      <c r="AG26" s="26"/>
      <c r="AH26" s="226"/>
      <c r="AI26" s="226"/>
      <c r="AJ26" s="14"/>
      <c r="AK26" s="152"/>
      <c r="AL26" s="153"/>
      <c r="AM26" s="14"/>
      <c r="AN26" s="207"/>
      <c r="AO26" s="208"/>
      <c r="AP26" s="14"/>
      <c r="AQ26" s="207"/>
      <c r="AR26" s="208"/>
      <c r="AS26" s="14"/>
      <c r="AT26" s="207"/>
      <c r="AU26" s="208"/>
      <c r="AV26" s="27"/>
      <c r="AW26" s="28"/>
      <c r="AX26" s="83"/>
      <c r="AY26" s="147">
        <v>4</v>
      </c>
      <c r="AZ26" s="84"/>
      <c r="BA26" s="215"/>
      <c r="BB26" s="216"/>
      <c r="BC26" s="84"/>
      <c r="BD26" s="188"/>
      <c r="BE26" s="189"/>
      <c r="BF26" s="84"/>
      <c r="BG26" s="176"/>
      <c r="BH26" s="177"/>
      <c r="BI26" s="84"/>
      <c r="BJ26" s="188"/>
      <c r="BK26" s="189"/>
      <c r="BL26" s="84"/>
      <c r="BM26" s="207"/>
      <c r="BN26" s="208"/>
      <c r="BO26" s="84"/>
      <c r="BP26" s="207"/>
      <c r="BQ26" s="208"/>
      <c r="BR26" s="84"/>
      <c r="BS26" s="207"/>
      <c r="BT26" s="208"/>
      <c r="BU26" s="84"/>
      <c r="BV26" s="168"/>
      <c r="BW26" s="169"/>
      <c r="BX26" s="94"/>
      <c r="BY26" s="168"/>
      <c r="BZ26" s="169"/>
      <c r="CA26" s="95"/>
    </row>
    <row r="27" spans="1:79" customFormat="1" ht="11.45" customHeight="1" x14ac:dyDescent="0.25">
      <c r="A27" s="13"/>
      <c r="B27" s="30"/>
      <c r="C27" s="16"/>
      <c r="D27" s="241"/>
      <c r="E27" s="241"/>
      <c r="F27" s="16"/>
      <c r="G27" s="385"/>
      <c r="H27" s="385"/>
      <c r="I27" s="14"/>
      <c r="J27" s="182"/>
      <c r="K27" s="183"/>
      <c r="L27" s="16"/>
      <c r="M27" s="182"/>
      <c r="N27" s="183"/>
      <c r="O27" s="16"/>
      <c r="P27" s="168"/>
      <c r="Q27" s="169"/>
      <c r="R27" s="84"/>
      <c r="S27" s="168"/>
      <c r="T27" s="169"/>
      <c r="U27" s="19"/>
      <c r="V27" s="11"/>
      <c r="W27" s="11"/>
      <c r="X27" s="11"/>
      <c r="Y27" s="13"/>
      <c r="Z27" s="147"/>
      <c r="AA27" s="14"/>
      <c r="AB27" s="241"/>
      <c r="AC27" s="241"/>
      <c r="AD27" s="26"/>
      <c r="AE27" s="226"/>
      <c r="AF27" s="226"/>
      <c r="AG27" s="26"/>
      <c r="AH27" s="226"/>
      <c r="AI27" s="226"/>
      <c r="AJ27" s="14"/>
      <c r="AK27" s="154"/>
      <c r="AL27" s="155"/>
      <c r="AM27" s="14"/>
      <c r="AN27" s="207"/>
      <c r="AO27" s="208"/>
      <c r="AP27" s="14"/>
      <c r="AQ27" s="207"/>
      <c r="AR27" s="208"/>
      <c r="AS27" s="14"/>
      <c r="AT27" s="207"/>
      <c r="AU27" s="208"/>
      <c r="AV27" s="27"/>
      <c r="AW27" s="28"/>
      <c r="AX27" s="83"/>
      <c r="AY27" s="147"/>
      <c r="AZ27" s="84"/>
      <c r="BA27" s="217"/>
      <c r="BB27" s="218"/>
      <c r="BC27" s="84"/>
      <c r="BD27" s="188"/>
      <c r="BE27" s="189"/>
      <c r="BF27" s="84"/>
      <c r="BG27" s="164"/>
      <c r="BH27" s="165"/>
      <c r="BI27" s="84"/>
      <c r="BJ27" s="188"/>
      <c r="BK27" s="189"/>
      <c r="BL27" s="84"/>
      <c r="BM27" s="267"/>
      <c r="BN27" s="268"/>
      <c r="BO27" s="84"/>
      <c r="BP27" s="207"/>
      <c r="BQ27" s="208"/>
      <c r="BR27" s="84"/>
      <c r="BS27" s="207"/>
      <c r="BT27" s="208"/>
      <c r="BU27" s="84"/>
      <c r="BV27" s="168"/>
      <c r="BW27" s="169"/>
      <c r="BX27" s="94"/>
      <c r="BY27" s="168"/>
      <c r="BZ27" s="169"/>
      <c r="CA27" s="95"/>
    </row>
    <row r="28" spans="1:79" customFormat="1" ht="11.45" customHeight="1" x14ac:dyDescent="0.25">
      <c r="A28" s="13"/>
      <c r="B28" s="30"/>
      <c r="C28" s="16"/>
      <c r="D28" s="241"/>
      <c r="E28" s="241"/>
      <c r="F28" s="16"/>
      <c r="G28" s="379"/>
      <c r="H28" s="379"/>
      <c r="I28" s="14"/>
      <c r="J28" s="164"/>
      <c r="K28" s="165"/>
      <c r="L28" s="16"/>
      <c r="M28" s="164"/>
      <c r="N28" s="165"/>
      <c r="O28" s="16"/>
      <c r="P28" s="168"/>
      <c r="Q28" s="169"/>
      <c r="R28" s="84"/>
      <c r="S28" s="168"/>
      <c r="T28" s="169"/>
      <c r="U28" s="19"/>
      <c r="V28" s="11"/>
      <c r="W28" s="11"/>
      <c r="X28" s="11"/>
      <c r="Y28" s="13"/>
      <c r="Z28" s="147"/>
      <c r="AA28" s="14"/>
      <c r="AB28" s="241" t="str">
        <f>IF(AB27="","",VLOOKUP(AB27,mco_99,2,FALSE))</f>
        <v/>
      </c>
      <c r="AC28" s="241"/>
      <c r="AD28" s="22"/>
      <c r="AE28" s="226" t="str">
        <f>IF(AE27="","",VLOOKUP(AE27,mco_101,2,FALSE))</f>
        <v/>
      </c>
      <c r="AF28" s="226"/>
      <c r="AG28" s="22"/>
      <c r="AH28" s="226" t="str">
        <f>IF(AH27="","",VLOOKUP(AH27,mco_101,2,FALSE))</f>
        <v/>
      </c>
      <c r="AI28" s="226"/>
      <c r="AJ28" s="14"/>
      <c r="AK28" s="150" t="str">
        <f>IF(AK27="","",VLOOKUP(AK27,mco_105,2,FALSE))</f>
        <v/>
      </c>
      <c r="AL28" s="151"/>
      <c r="AM28" s="14"/>
      <c r="AN28" s="205" t="str">
        <f>IF(AN27="","",VLOOKUP(AN27,mco_89,2,FALSE))</f>
        <v/>
      </c>
      <c r="AO28" s="206"/>
      <c r="AP28" s="14"/>
      <c r="AQ28" s="205" t="str">
        <f>IF(AQ27="","",VLOOKUP(AQ27,mco_91,2,FALSE))</f>
        <v/>
      </c>
      <c r="AR28" s="206"/>
      <c r="AS28" s="14"/>
      <c r="AT28" s="205" t="str">
        <f>IF(AT27="","",VLOOKUP(AT27,mco_93,2,FALSE))</f>
        <v/>
      </c>
      <c r="AU28" s="206"/>
      <c r="AV28" s="23"/>
      <c r="AW28" s="24"/>
      <c r="AX28" s="83"/>
      <c r="AY28" s="147"/>
      <c r="AZ28" s="84"/>
      <c r="BA28" s="213" t="str">
        <f>IF(BA27="","",VLOOKUP(BA27,gpme_2,2,FALSE))</f>
        <v/>
      </c>
      <c r="BB28" s="214"/>
      <c r="BC28" s="84"/>
      <c r="BD28" s="190" t="str">
        <f>IF(BD27="","",VLOOKUP(BD27,ndrc_7,2,FALSE))</f>
        <v/>
      </c>
      <c r="BE28" s="191"/>
      <c r="BF28" s="84"/>
      <c r="BG28" s="164" t="str">
        <f>IF(BG27="","",VLOOKUP(BG27,ndrc_7,2,FALSE))</f>
        <v/>
      </c>
      <c r="BH28" s="165"/>
      <c r="BI28" s="84"/>
      <c r="BJ28" s="190" t="str">
        <f>IF(BJ27="","",VLOOKUP(BJ27,ndrc_6,2,FALSE))</f>
        <v/>
      </c>
      <c r="BK28" s="191"/>
      <c r="BL28" s="84"/>
      <c r="BM28" s="374" t="str">
        <f>IF(BM27="","",VLOOKUP(BM27,rdc_14,2,FALSE))</f>
        <v/>
      </c>
      <c r="BN28" s="375"/>
      <c r="BO28" s="84"/>
      <c r="BP28" s="205" t="str">
        <f>IF(BP27="","",VLOOKUP(BP27,rh_1,2,FALSE))</f>
        <v/>
      </c>
      <c r="BQ28" s="206"/>
      <c r="BR28" s="84"/>
      <c r="BS28" s="205" t="str">
        <f>IF(BS27="","",VLOOKUP(BS27,rh_1,2,FALSE))</f>
        <v/>
      </c>
      <c r="BT28" s="206"/>
      <c r="BU28" s="84"/>
      <c r="BV28" s="168" t="str">
        <f>IF(BV27="","",VLOOKUP(BV27,m_3,2,FALSE))</f>
        <v/>
      </c>
      <c r="BW28" s="169"/>
      <c r="BX28" s="91"/>
      <c r="BY28" s="168" t="str">
        <f>IF(BY27="","",VLOOKUP(BY27,m_2,2,FALSE))</f>
        <v/>
      </c>
      <c r="BZ28" s="169"/>
      <c r="CA28" s="92"/>
    </row>
    <row r="29" spans="1:79" customFormat="1" ht="11.45" customHeight="1" thickBot="1" x14ac:dyDescent="0.3">
      <c r="A29" s="31"/>
      <c r="B29" s="32"/>
      <c r="C29" s="16"/>
      <c r="D29" s="290"/>
      <c r="E29" s="290"/>
      <c r="F29" s="16"/>
      <c r="G29" s="377"/>
      <c r="H29" s="377"/>
      <c r="I29" s="14"/>
      <c r="J29" s="184"/>
      <c r="K29" s="185"/>
      <c r="L29" s="16"/>
      <c r="M29" s="184"/>
      <c r="N29" s="185"/>
      <c r="O29" s="16"/>
      <c r="P29" s="263"/>
      <c r="Q29" s="264"/>
      <c r="R29" s="84"/>
      <c r="S29" s="263"/>
      <c r="T29" s="264"/>
      <c r="U29" s="19"/>
      <c r="V29" s="11"/>
      <c r="W29" s="11"/>
      <c r="X29" s="11"/>
      <c r="Y29" s="31"/>
      <c r="Z29" s="98"/>
      <c r="AA29" s="14"/>
      <c r="AB29" s="290"/>
      <c r="AC29" s="290"/>
      <c r="AD29" s="26"/>
      <c r="AE29" s="281"/>
      <c r="AF29" s="281"/>
      <c r="AG29" s="26"/>
      <c r="AH29" s="281"/>
      <c r="AI29" s="281"/>
      <c r="AJ29" s="14"/>
      <c r="AK29" s="157"/>
      <c r="AL29" s="158"/>
      <c r="AM29" s="14"/>
      <c r="AN29" s="209"/>
      <c r="AO29" s="210"/>
      <c r="AP29" s="14"/>
      <c r="AQ29" s="209"/>
      <c r="AR29" s="210"/>
      <c r="AS29" s="14"/>
      <c r="AT29" s="209"/>
      <c r="AU29" s="210"/>
      <c r="AV29" s="27"/>
      <c r="AW29" s="28"/>
      <c r="AX29" s="97"/>
      <c r="AY29" s="98"/>
      <c r="AZ29" s="84"/>
      <c r="BA29" s="219"/>
      <c r="BB29" s="220"/>
      <c r="BC29" s="84"/>
      <c r="BD29" s="427"/>
      <c r="BE29" s="428"/>
      <c r="BF29" s="84"/>
      <c r="BG29" s="199"/>
      <c r="BH29" s="200"/>
      <c r="BI29" s="84"/>
      <c r="BJ29" s="427"/>
      <c r="BK29" s="428"/>
      <c r="BL29" s="84"/>
      <c r="BM29" s="209"/>
      <c r="BN29" s="210"/>
      <c r="BO29" s="84"/>
      <c r="BP29" s="209"/>
      <c r="BQ29" s="210"/>
      <c r="BR29" s="84"/>
      <c r="BS29" s="209"/>
      <c r="BT29" s="208"/>
      <c r="BU29" s="84"/>
      <c r="BV29" s="258"/>
      <c r="BW29" s="196"/>
      <c r="BX29" s="94"/>
      <c r="BY29" s="258"/>
      <c r="BZ29" s="196"/>
      <c r="CA29" s="95"/>
    </row>
    <row r="30" spans="1:79" s="114" customFormat="1" ht="6.6" customHeight="1" thickBot="1" x14ac:dyDescent="0.3">
      <c r="A30" s="83"/>
      <c r="B30" s="122"/>
      <c r="C30" s="86"/>
      <c r="D30" s="124"/>
      <c r="E30" s="124"/>
      <c r="F30" s="86"/>
      <c r="G30" s="124"/>
      <c r="H30" s="107"/>
      <c r="I30" s="123"/>
      <c r="J30" s="124"/>
      <c r="K30" s="107"/>
      <c r="L30" s="86"/>
      <c r="M30" s="124"/>
      <c r="N30" s="124"/>
      <c r="O30" s="86"/>
      <c r="P30" s="124"/>
      <c r="Q30" s="124"/>
      <c r="R30" s="123"/>
      <c r="S30" s="125"/>
      <c r="T30" s="125"/>
      <c r="U30" s="87"/>
      <c r="V30" s="11"/>
      <c r="W30" s="11"/>
      <c r="X30" s="11"/>
      <c r="Y30" s="83"/>
      <c r="Z30" s="122"/>
      <c r="AA30" s="86"/>
      <c r="AB30" s="125"/>
      <c r="AC30" s="125"/>
      <c r="AD30" s="94"/>
      <c r="AE30" s="124"/>
      <c r="AF30" s="124"/>
      <c r="AG30" s="132"/>
      <c r="AH30" s="133"/>
      <c r="AI30" s="133"/>
      <c r="AJ30" s="123"/>
      <c r="AK30" s="133"/>
      <c r="AL30" s="134"/>
      <c r="AM30" s="84"/>
      <c r="AN30" s="125"/>
      <c r="AO30" s="107"/>
      <c r="AP30" s="86"/>
      <c r="AQ30" s="124"/>
      <c r="AR30" s="124"/>
      <c r="AS30" s="86"/>
      <c r="AT30" s="124"/>
      <c r="AU30" s="107"/>
      <c r="AV30" s="95"/>
      <c r="AW30" s="28"/>
      <c r="AX30" s="83"/>
      <c r="AY30" s="122"/>
      <c r="AZ30" s="123"/>
      <c r="BA30" s="107"/>
      <c r="BB30" s="107"/>
      <c r="BC30" s="123"/>
      <c r="BD30" s="107"/>
      <c r="BE30" s="107"/>
      <c r="BF30" s="123"/>
      <c r="BG30" s="135"/>
      <c r="BH30" s="134"/>
      <c r="BI30" s="123"/>
      <c r="BJ30" s="135"/>
      <c r="BK30" s="135"/>
      <c r="BL30" s="123"/>
      <c r="BM30" s="133"/>
      <c r="BN30" s="134"/>
      <c r="BO30" s="123"/>
      <c r="BP30" s="133"/>
      <c r="BQ30" s="134"/>
      <c r="BR30" s="123"/>
      <c r="BS30" s="133"/>
      <c r="BT30" s="136"/>
      <c r="BU30" s="123"/>
      <c r="BV30" s="107"/>
      <c r="BW30" s="107"/>
      <c r="BX30" s="132"/>
      <c r="BY30" s="133"/>
      <c r="BZ30" s="134"/>
      <c r="CA30" s="95"/>
    </row>
    <row r="31" spans="1:79" customFormat="1" ht="11.45" customHeight="1" x14ac:dyDescent="0.25">
      <c r="A31" s="13"/>
      <c r="B31" s="25"/>
      <c r="C31" s="16"/>
      <c r="D31" s="371"/>
      <c r="E31" s="371"/>
      <c r="F31" s="16"/>
      <c r="G31" s="273"/>
      <c r="H31" s="274"/>
      <c r="I31" s="14"/>
      <c r="J31" s="273"/>
      <c r="K31" s="274"/>
      <c r="L31" s="16"/>
      <c r="M31" s="371"/>
      <c r="N31" s="371"/>
      <c r="O31" s="16"/>
      <c r="P31" s="265"/>
      <c r="Q31" s="266"/>
      <c r="R31" s="84"/>
      <c r="S31" s="192"/>
      <c r="T31" s="193"/>
      <c r="U31" s="19"/>
      <c r="V31" s="11"/>
      <c r="W31" s="11"/>
      <c r="X31" s="11"/>
      <c r="Y31" s="13"/>
      <c r="Z31" s="93"/>
      <c r="AA31" s="14"/>
      <c r="AB31" s="355"/>
      <c r="AC31" s="356"/>
      <c r="AD31" s="26"/>
      <c r="AE31" s="225" t="str">
        <f>IF(AE30="","",VLOOKUP(AE30,mco_101,2,FALSE))</f>
        <v/>
      </c>
      <c r="AF31" s="225"/>
      <c r="AG31" s="26"/>
      <c r="AH31" s="194" t="str">
        <f>IF(AH30="","",VLOOKUP(AH30,mco_105,2,FALSE))</f>
        <v/>
      </c>
      <c r="AI31" s="195"/>
      <c r="AJ31" s="14"/>
      <c r="AK31" s="194" t="str">
        <f>IF(AK30="","",VLOOKUP(AK30,mco_105,2,FALSE))</f>
        <v/>
      </c>
      <c r="AL31" s="195"/>
      <c r="AM31" s="14"/>
      <c r="AN31" s="360"/>
      <c r="AO31" s="361"/>
      <c r="AP31" s="14"/>
      <c r="AQ31" s="242" t="str">
        <f>IF(AQ30="","",VLOOKUP(AQ30,mco_91,2,FALSE))</f>
        <v/>
      </c>
      <c r="AR31" s="243"/>
      <c r="AS31" s="14"/>
      <c r="AT31" s="194" t="str">
        <f>IF(AT30="","",VLOOKUP(AT30,mco_95,2,FALSE))</f>
        <v/>
      </c>
      <c r="AU31" s="195"/>
      <c r="AV31" s="27"/>
      <c r="AW31" s="28"/>
      <c r="AX31" s="83"/>
      <c r="AY31" s="93"/>
      <c r="AZ31" s="84"/>
      <c r="BA31" s="194" t="str">
        <f>IF(BA30="","",VLOOKUP(BA30,gpme_2,2,FALSE))</f>
        <v/>
      </c>
      <c r="BB31" s="195"/>
      <c r="BC31" s="84"/>
      <c r="BD31" s="194" t="str">
        <f>IF(BD30="","",VLOOKUP(BD30,gpme_1,2,FALSE))</f>
        <v/>
      </c>
      <c r="BE31" s="195"/>
      <c r="BF31" s="84"/>
      <c r="BG31" s="174"/>
      <c r="BH31" s="175"/>
      <c r="BI31" s="84"/>
      <c r="BJ31" s="358"/>
      <c r="BK31" s="359"/>
      <c r="BL31" s="84"/>
      <c r="BM31" s="194" t="str">
        <f>IF(BM30="","",VLOOKUP(BM30,rdc_16,2,FALSE))</f>
        <v/>
      </c>
      <c r="BN31" s="195"/>
      <c r="BO31" s="84"/>
      <c r="BP31" s="194" t="str">
        <f>IF(BP30="","",VLOOKUP(BP30,rdc_16,2,FALSE))</f>
        <v/>
      </c>
      <c r="BQ31" s="195"/>
      <c r="BR31" s="84"/>
      <c r="BS31" s="442"/>
      <c r="BT31" s="443"/>
      <c r="BU31" s="84"/>
      <c r="BV31" s="261"/>
      <c r="BW31" s="262"/>
      <c r="BX31" s="94"/>
      <c r="BY31" s="180" t="str">
        <f>IF(BY30="","",VLOOKUP(BY30,m_3,2,FALSE))</f>
        <v/>
      </c>
      <c r="BZ31" s="181"/>
      <c r="CA31" s="95"/>
    </row>
    <row r="32" spans="1:79" customFormat="1" ht="11.45" customHeight="1" x14ac:dyDescent="0.25">
      <c r="A32" s="13"/>
      <c r="B32" s="29" t="s">
        <v>167</v>
      </c>
      <c r="C32" s="16"/>
      <c r="D32" s="226"/>
      <c r="E32" s="226"/>
      <c r="F32" s="16"/>
      <c r="G32" s="201"/>
      <c r="H32" s="202"/>
      <c r="I32" s="14"/>
      <c r="J32" s="226"/>
      <c r="K32" s="226"/>
      <c r="L32" s="16"/>
      <c r="M32" s="226"/>
      <c r="N32" s="226"/>
      <c r="O32" s="16"/>
      <c r="P32" s="168"/>
      <c r="Q32" s="169"/>
      <c r="R32" s="84"/>
      <c r="S32" s="164"/>
      <c r="T32" s="165"/>
      <c r="U32" s="19"/>
      <c r="V32" s="11"/>
      <c r="W32" s="11"/>
      <c r="X32" s="11"/>
      <c r="Y32" s="13"/>
      <c r="Z32" s="96" t="s">
        <v>167</v>
      </c>
      <c r="AA32" s="14"/>
      <c r="AB32" s="341" t="str">
        <f>IF(AB31="","",VLOOKUP(AB31,mco_99,2,FALSE))</f>
        <v/>
      </c>
      <c r="AC32" s="342"/>
      <c r="AD32" s="22"/>
      <c r="AE32" s="226"/>
      <c r="AF32" s="226"/>
      <c r="AG32" s="22"/>
      <c r="AH32" s="205"/>
      <c r="AI32" s="206"/>
      <c r="AJ32" s="14"/>
      <c r="AK32" s="205"/>
      <c r="AL32" s="206"/>
      <c r="AM32" s="14"/>
      <c r="AN32" s="303" t="str">
        <f>IF(AN31="","",VLOOKUP(AN31,mco_91,2,FALSE))</f>
        <v/>
      </c>
      <c r="AO32" s="304"/>
      <c r="AP32" s="14"/>
      <c r="AQ32" s="244"/>
      <c r="AR32" s="245"/>
      <c r="AS32" s="14"/>
      <c r="AT32" s="205"/>
      <c r="AU32" s="206"/>
      <c r="AV32" s="23"/>
      <c r="AW32" s="24"/>
      <c r="AX32" s="83"/>
      <c r="AY32" s="96" t="s">
        <v>167</v>
      </c>
      <c r="AZ32" s="84"/>
      <c r="BA32" s="205"/>
      <c r="BB32" s="206"/>
      <c r="BC32" s="84"/>
      <c r="BD32" s="205"/>
      <c r="BE32" s="206"/>
      <c r="BF32" s="84"/>
      <c r="BG32" s="170" t="str">
        <f>IF(BG31="","",VLOOKUP(BG31,ndrc_7,2,FALSE))</f>
        <v/>
      </c>
      <c r="BH32" s="171"/>
      <c r="BI32" s="84"/>
      <c r="BJ32" s="343" t="str">
        <f>IF(BJ31="","",VLOOKUP(BJ31,ndrc_5,2,FALSE))</f>
        <v/>
      </c>
      <c r="BK32" s="344"/>
      <c r="BL32" s="84"/>
      <c r="BM32" s="205"/>
      <c r="BN32" s="206"/>
      <c r="BO32" s="84"/>
      <c r="BP32" s="205"/>
      <c r="BQ32" s="206"/>
      <c r="BR32" s="84"/>
      <c r="BS32" s="435" t="str">
        <f>IF(BS31="","",VLOOKUP(BS31,rh_1,2,FALSE))</f>
        <v/>
      </c>
      <c r="BT32" s="436"/>
      <c r="BU32" s="84"/>
      <c r="BV32" s="250" t="str">
        <f>IF(BV31="","",VLOOKUP(BV31,m_3,2,FALSE))</f>
        <v/>
      </c>
      <c r="BW32" s="251"/>
      <c r="BX32" s="91"/>
      <c r="BY32" s="182"/>
      <c r="BZ32" s="183"/>
      <c r="CA32" s="92"/>
    </row>
    <row r="33" spans="1:79" customFormat="1" ht="11.45" customHeight="1" x14ac:dyDescent="0.25">
      <c r="A33" s="13"/>
      <c r="B33" s="30">
        <v>7</v>
      </c>
      <c r="C33" s="16"/>
      <c r="D33" s="164"/>
      <c r="E33" s="165"/>
      <c r="F33" s="16"/>
      <c r="G33" s="201"/>
      <c r="H33" s="202"/>
      <c r="I33" s="14"/>
      <c r="J33" s="226"/>
      <c r="K33" s="226"/>
      <c r="L33" s="16"/>
      <c r="M33" s="164"/>
      <c r="N33" s="165"/>
      <c r="O33" s="16"/>
      <c r="P33" s="168"/>
      <c r="Q33" s="169"/>
      <c r="R33" s="84"/>
      <c r="S33" s="164"/>
      <c r="T33" s="165"/>
      <c r="U33" s="19"/>
      <c r="V33" s="11"/>
      <c r="W33" s="11"/>
      <c r="X33" s="11"/>
      <c r="Y33" s="13"/>
      <c r="Z33" s="147">
        <v>7</v>
      </c>
      <c r="AA33" s="14"/>
      <c r="AB33" s="345"/>
      <c r="AC33" s="346"/>
      <c r="AD33" s="26"/>
      <c r="AE33" s="226"/>
      <c r="AF33" s="226"/>
      <c r="AG33" s="26"/>
      <c r="AH33" s="207"/>
      <c r="AI33" s="208"/>
      <c r="AJ33" s="14"/>
      <c r="AK33" s="207"/>
      <c r="AL33" s="208"/>
      <c r="AM33" s="14"/>
      <c r="AN33" s="308"/>
      <c r="AO33" s="309"/>
      <c r="AP33" s="14"/>
      <c r="AQ33" s="246"/>
      <c r="AR33" s="247"/>
      <c r="AS33" s="14"/>
      <c r="AT33" s="207"/>
      <c r="AU33" s="208"/>
      <c r="AV33" s="27"/>
      <c r="AW33" s="28"/>
      <c r="AX33" s="83"/>
      <c r="AY33" s="147">
        <v>7</v>
      </c>
      <c r="AZ33" s="84"/>
      <c r="BA33" s="207"/>
      <c r="BB33" s="208"/>
      <c r="BC33" s="84"/>
      <c r="BD33" s="207"/>
      <c r="BE33" s="208"/>
      <c r="BF33" s="84"/>
      <c r="BG33" s="176"/>
      <c r="BH33" s="177"/>
      <c r="BI33" s="84"/>
      <c r="BJ33" s="347"/>
      <c r="BK33" s="348"/>
      <c r="BL33" s="84"/>
      <c r="BM33" s="207"/>
      <c r="BN33" s="208"/>
      <c r="BO33" s="84"/>
      <c r="BP33" s="207"/>
      <c r="BQ33" s="208"/>
      <c r="BR33" s="84"/>
      <c r="BS33" s="437"/>
      <c r="BT33" s="438"/>
      <c r="BU33" s="84"/>
      <c r="BV33" s="252"/>
      <c r="BW33" s="253"/>
      <c r="BX33" s="94"/>
      <c r="BY33" s="182"/>
      <c r="BZ33" s="183"/>
      <c r="CA33" s="95"/>
    </row>
    <row r="34" spans="1:79" customFormat="1" ht="11.45" customHeight="1" x14ac:dyDescent="0.25">
      <c r="A34" s="13"/>
      <c r="B34" s="30"/>
      <c r="C34" s="16"/>
      <c r="D34" s="363"/>
      <c r="E34" s="363"/>
      <c r="F34" s="16"/>
      <c r="G34" s="226"/>
      <c r="H34" s="226"/>
      <c r="I34" s="14"/>
      <c r="J34" s="226"/>
      <c r="K34" s="226"/>
      <c r="L34" s="16"/>
      <c r="M34" s="363"/>
      <c r="N34" s="363"/>
      <c r="O34" s="16"/>
      <c r="P34" s="168"/>
      <c r="Q34" s="169"/>
      <c r="R34" s="84"/>
      <c r="S34" s="164"/>
      <c r="T34" s="165"/>
      <c r="U34" s="19"/>
      <c r="V34" s="11"/>
      <c r="W34" s="11"/>
      <c r="X34" s="11"/>
      <c r="Y34" s="13"/>
      <c r="Z34" s="147"/>
      <c r="AA34" s="14"/>
      <c r="AB34" s="337"/>
      <c r="AC34" s="338"/>
      <c r="AD34" s="26"/>
      <c r="AE34" s="226" t="str">
        <f>IF(AE33="","",VLOOKUP(AE33,mco_101,2,FALSE))</f>
        <v/>
      </c>
      <c r="AF34" s="226"/>
      <c r="AG34" s="26"/>
      <c r="AH34" s="207" t="str">
        <f>IF(AH33="","",VLOOKUP(AH33,mco_105,2,FALSE))</f>
        <v/>
      </c>
      <c r="AI34" s="208"/>
      <c r="AJ34" s="14"/>
      <c r="AK34" s="207" t="str">
        <f>IF(AK33="","",VLOOKUP(AK33,mco_105,2,FALSE))</f>
        <v/>
      </c>
      <c r="AL34" s="208"/>
      <c r="AM34" s="14"/>
      <c r="AN34" s="297"/>
      <c r="AO34" s="298"/>
      <c r="AP34" s="14"/>
      <c r="AQ34" s="246" t="str">
        <f>IF(AQ33="","",VLOOKUP(AQ33,mco_91,2,FALSE))</f>
        <v/>
      </c>
      <c r="AR34" s="247"/>
      <c r="AS34" s="14"/>
      <c r="AT34" s="207" t="str">
        <f>IF(AT33="","",VLOOKUP(AT33,mco_95,2,FALSE))</f>
        <v/>
      </c>
      <c r="AU34" s="208"/>
      <c r="AV34" s="27"/>
      <c r="AW34" s="28"/>
      <c r="AX34" s="83"/>
      <c r="AY34" s="147"/>
      <c r="AZ34" s="84"/>
      <c r="BA34" s="207" t="str">
        <f>IF(BA33="","",VLOOKUP(BA33,gpme_2,2,FALSE))</f>
        <v/>
      </c>
      <c r="BB34" s="208"/>
      <c r="BC34" s="84"/>
      <c r="BD34" s="207" t="str">
        <f>IF(BD33="","",VLOOKUP(BD33,gpme_1,2,FALSE))</f>
        <v/>
      </c>
      <c r="BE34" s="208"/>
      <c r="BF34" s="84"/>
      <c r="BG34" s="178"/>
      <c r="BH34" s="179"/>
      <c r="BI34" s="84"/>
      <c r="BJ34" s="349"/>
      <c r="BK34" s="350"/>
      <c r="BL34" s="84"/>
      <c r="BM34" s="207" t="str">
        <f>IF(BM33="","",VLOOKUP(BM33,rdc_16,2,FALSE))</f>
        <v/>
      </c>
      <c r="BN34" s="208"/>
      <c r="BO34" s="84"/>
      <c r="BP34" s="207" t="str">
        <f>IF(BP33="","",VLOOKUP(BP33,rdc_16,2,FALSE))</f>
        <v/>
      </c>
      <c r="BQ34" s="208"/>
      <c r="BR34" s="84"/>
      <c r="BS34" s="439"/>
      <c r="BT34" s="440"/>
      <c r="BU34" s="84"/>
      <c r="BV34" s="254"/>
      <c r="BW34" s="255"/>
      <c r="BX34" s="94"/>
      <c r="BY34" s="182" t="str">
        <f>IF(BY33="","",VLOOKUP(BY33,m_3,2,FALSE))</f>
        <v/>
      </c>
      <c r="BZ34" s="183"/>
      <c r="CA34" s="95"/>
    </row>
    <row r="35" spans="1:79" customFormat="1" ht="11.45" customHeight="1" x14ac:dyDescent="0.25">
      <c r="A35" s="13"/>
      <c r="B35" s="30"/>
      <c r="C35" s="16"/>
      <c r="D35" s="226"/>
      <c r="E35" s="226"/>
      <c r="F35" s="16"/>
      <c r="G35" s="226"/>
      <c r="H35" s="226"/>
      <c r="I35" s="14"/>
      <c r="J35" s="226"/>
      <c r="K35" s="226"/>
      <c r="L35" s="16"/>
      <c r="M35" s="226"/>
      <c r="N35" s="226"/>
      <c r="O35" s="16"/>
      <c r="P35" s="168"/>
      <c r="Q35" s="169"/>
      <c r="R35" s="84"/>
      <c r="S35" s="164"/>
      <c r="T35" s="165"/>
      <c r="U35" s="19"/>
      <c r="V35" s="11"/>
      <c r="W35" s="11"/>
      <c r="X35" s="11"/>
      <c r="Y35" s="13"/>
      <c r="Z35" s="147"/>
      <c r="AA35" s="14"/>
      <c r="AB35" s="341" t="str">
        <f>IF(AB34="","",VLOOKUP(AB34,mco_99,2,FALSE))</f>
        <v/>
      </c>
      <c r="AC35" s="342"/>
      <c r="AD35" s="22"/>
      <c r="AE35" s="226"/>
      <c r="AF35" s="226"/>
      <c r="AG35" s="22"/>
      <c r="AH35" s="205"/>
      <c r="AI35" s="206"/>
      <c r="AJ35" s="14"/>
      <c r="AK35" s="205"/>
      <c r="AL35" s="206"/>
      <c r="AM35" s="14"/>
      <c r="AN35" s="303" t="str">
        <f>IF(AN34="","",VLOOKUP(AN34,mco_91,2,FALSE))</f>
        <v/>
      </c>
      <c r="AO35" s="304"/>
      <c r="AP35" s="14"/>
      <c r="AQ35" s="244"/>
      <c r="AR35" s="245"/>
      <c r="AS35" s="14"/>
      <c r="AT35" s="205"/>
      <c r="AU35" s="206"/>
      <c r="AV35" s="23"/>
      <c r="AW35" s="24"/>
      <c r="AX35" s="83"/>
      <c r="AY35" s="147"/>
      <c r="AZ35" s="84"/>
      <c r="BA35" s="205"/>
      <c r="BB35" s="206"/>
      <c r="BC35" s="84"/>
      <c r="BD35" s="205"/>
      <c r="BE35" s="206"/>
      <c r="BF35" s="84"/>
      <c r="BG35" s="170" t="str">
        <f>IF(BG34="","",VLOOKUP(BG34,ndrc_7,2,FALSE))</f>
        <v/>
      </c>
      <c r="BH35" s="171"/>
      <c r="BI35" s="84"/>
      <c r="BJ35" s="343" t="str">
        <f>IF(BJ34="","",VLOOKUP(BJ34,ndrc_5,2,FALSE))</f>
        <v/>
      </c>
      <c r="BK35" s="344"/>
      <c r="BL35" s="84"/>
      <c r="BM35" s="205"/>
      <c r="BN35" s="206"/>
      <c r="BO35" s="84"/>
      <c r="BP35" s="205"/>
      <c r="BQ35" s="206"/>
      <c r="BR35" s="84"/>
      <c r="BS35" s="435" t="str">
        <f>IF(BS34="","",VLOOKUP(BS34,rh_1,2,FALSE))</f>
        <v/>
      </c>
      <c r="BT35" s="436"/>
      <c r="BU35" s="84"/>
      <c r="BV35" s="250" t="str">
        <f>IF(BV34="","",VLOOKUP(BV34,m_3,2,FALSE))</f>
        <v/>
      </c>
      <c r="BW35" s="251"/>
      <c r="BX35" s="91"/>
      <c r="BY35" s="182"/>
      <c r="BZ35" s="183"/>
      <c r="CA35" s="92"/>
    </row>
    <row r="36" spans="1:79" customFormat="1" ht="11.45" customHeight="1" thickBot="1" x14ac:dyDescent="0.3">
      <c r="A36" s="13"/>
      <c r="B36" s="32"/>
      <c r="C36" s="16"/>
      <c r="D36" s="281"/>
      <c r="E36" s="281"/>
      <c r="F36" s="16"/>
      <c r="G36" s="281"/>
      <c r="H36" s="281"/>
      <c r="I36" s="14"/>
      <c r="J36" s="281"/>
      <c r="K36" s="281"/>
      <c r="L36" s="16"/>
      <c r="M36" s="281"/>
      <c r="N36" s="281"/>
      <c r="O36" s="16"/>
      <c r="P36" s="263"/>
      <c r="Q36" s="264"/>
      <c r="R36" s="100"/>
      <c r="S36" s="446"/>
      <c r="T36" s="421"/>
      <c r="U36" s="19"/>
      <c r="V36" s="11"/>
      <c r="W36" s="11"/>
      <c r="X36" s="11"/>
      <c r="Y36" s="13"/>
      <c r="Z36" s="98"/>
      <c r="AA36" s="14"/>
      <c r="AB36" s="331"/>
      <c r="AC36" s="332"/>
      <c r="AD36" s="26"/>
      <c r="AE36" s="281"/>
      <c r="AF36" s="281"/>
      <c r="AG36" s="26"/>
      <c r="AH36" s="209"/>
      <c r="AI36" s="210"/>
      <c r="AJ36" s="14"/>
      <c r="AK36" s="209"/>
      <c r="AL36" s="210"/>
      <c r="AM36" s="14"/>
      <c r="AN36" s="295"/>
      <c r="AO36" s="296"/>
      <c r="AP36" s="14"/>
      <c r="AQ36" s="248"/>
      <c r="AR36" s="249"/>
      <c r="AS36" s="14"/>
      <c r="AT36" s="209"/>
      <c r="AU36" s="210"/>
      <c r="AV36" s="27"/>
      <c r="AW36" s="28"/>
      <c r="AX36" s="83"/>
      <c r="AY36" s="98"/>
      <c r="AZ36" s="100"/>
      <c r="BA36" s="209"/>
      <c r="BB36" s="210"/>
      <c r="BC36" s="100"/>
      <c r="BD36" s="209"/>
      <c r="BE36" s="210"/>
      <c r="BF36" s="100"/>
      <c r="BG36" s="172"/>
      <c r="BH36" s="173"/>
      <c r="BI36" s="100"/>
      <c r="BJ36" s="327"/>
      <c r="BK36" s="328"/>
      <c r="BL36" s="84"/>
      <c r="BM36" s="207"/>
      <c r="BN36" s="208"/>
      <c r="BO36" s="84"/>
      <c r="BP36" s="207"/>
      <c r="BQ36" s="208"/>
      <c r="BR36" s="84"/>
      <c r="BS36" s="444"/>
      <c r="BT36" s="445"/>
      <c r="BU36" s="84"/>
      <c r="BV36" s="256"/>
      <c r="BW36" s="257"/>
      <c r="BX36" s="94"/>
      <c r="BY36" s="184"/>
      <c r="BZ36" s="185"/>
      <c r="CA36" s="95"/>
    </row>
    <row r="37" spans="1:79" customFormat="1" ht="11.45" customHeight="1" x14ac:dyDescent="0.25">
      <c r="A37" s="13"/>
      <c r="B37" s="25"/>
      <c r="C37" s="16"/>
      <c r="D37" s="424"/>
      <c r="E37" s="424"/>
      <c r="F37" s="16"/>
      <c r="G37" s="273"/>
      <c r="H37" s="274"/>
      <c r="I37" s="14"/>
      <c r="J37" s="362"/>
      <c r="K37" s="362"/>
      <c r="L37" s="16"/>
      <c r="M37" s="371"/>
      <c r="N37" s="371"/>
      <c r="O37" s="16"/>
      <c r="P37" s="265"/>
      <c r="Q37" s="266"/>
      <c r="R37" s="84"/>
      <c r="S37" s="265"/>
      <c r="T37" s="266"/>
      <c r="U37" s="19"/>
      <c r="V37" s="11"/>
      <c r="W37" s="11"/>
      <c r="X37" s="11"/>
      <c r="Y37" s="13"/>
      <c r="Z37" s="93"/>
      <c r="AA37" s="14"/>
      <c r="AB37" s="355"/>
      <c r="AC37" s="356"/>
      <c r="AD37" s="26"/>
      <c r="AE37" s="357"/>
      <c r="AF37" s="266"/>
      <c r="AG37" s="26"/>
      <c r="AH37" s="225"/>
      <c r="AI37" s="225"/>
      <c r="AJ37" s="14"/>
      <c r="AK37" s="225" t="str">
        <f>IF(AK36="","",VLOOKUP(AK36,mco_105,2,FALSE))</f>
        <v/>
      </c>
      <c r="AL37" s="225"/>
      <c r="AM37" s="14"/>
      <c r="AN37" s="360"/>
      <c r="AO37" s="361"/>
      <c r="AP37" s="14"/>
      <c r="AQ37" s="486"/>
      <c r="AR37" s="487"/>
      <c r="AS37" s="14"/>
      <c r="AT37" s="225" t="str">
        <f>IF(AT36="","",VLOOKUP(AT36,mco_95,2,FALSE))</f>
        <v/>
      </c>
      <c r="AU37" s="225"/>
      <c r="AV37" s="27"/>
      <c r="AW37" s="28"/>
      <c r="AX37" s="83"/>
      <c r="AY37" s="93"/>
      <c r="AZ37" s="84"/>
      <c r="BA37" s="194" t="str">
        <f>IF(BA36="","",VLOOKUP(BA36,gpme_2,2,FALSE))</f>
        <v/>
      </c>
      <c r="BB37" s="195"/>
      <c r="BC37" s="84"/>
      <c r="BD37" s="194" t="str">
        <f>IF(BD36="","",VLOOKUP(BD36,gpme_1,2,FALSE))</f>
        <v/>
      </c>
      <c r="BE37" s="195"/>
      <c r="BF37" s="84"/>
      <c r="BG37" s="174"/>
      <c r="BH37" s="175"/>
      <c r="BI37" s="84"/>
      <c r="BJ37" s="358"/>
      <c r="BK37" s="359"/>
      <c r="BL37" s="84"/>
      <c r="BM37" s="192" t="str">
        <f>IF(BM36="","",VLOOKUP(BM36,rdc_16,2,FALSE))</f>
        <v/>
      </c>
      <c r="BN37" s="193"/>
      <c r="BO37" s="84"/>
      <c r="BP37" s="192" t="str">
        <f>IF(BP36="","",VLOOKUP(BP36,rdc_16,2,FALSE))</f>
        <v/>
      </c>
      <c r="BQ37" s="193"/>
      <c r="BR37" s="84"/>
      <c r="BS37" s="442"/>
      <c r="BT37" s="443"/>
      <c r="BU37" s="84"/>
      <c r="BV37" s="261"/>
      <c r="BW37" s="262"/>
      <c r="BX37" s="94"/>
      <c r="BY37" s="323" t="str">
        <f>IF(BY36="","",VLOOKUP(BY36,m_3,2,FALSE))</f>
        <v/>
      </c>
      <c r="BZ37" s="324"/>
      <c r="CA37" s="95"/>
    </row>
    <row r="38" spans="1:79" customFormat="1" ht="11.45" customHeight="1" x14ac:dyDescent="0.25">
      <c r="A38" s="13"/>
      <c r="B38" s="29" t="s">
        <v>5</v>
      </c>
      <c r="C38" s="16"/>
      <c r="D38" s="316"/>
      <c r="E38" s="316"/>
      <c r="F38" s="16"/>
      <c r="G38" s="201"/>
      <c r="H38" s="202"/>
      <c r="I38" s="14"/>
      <c r="J38" s="315"/>
      <c r="K38" s="315"/>
      <c r="L38" s="16"/>
      <c r="M38" s="226"/>
      <c r="N38" s="226"/>
      <c r="O38" s="16"/>
      <c r="P38" s="168"/>
      <c r="Q38" s="169"/>
      <c r="R38" s="84"/>
      <c r="S38" s="168"/>
      <c r="T38" s="169"/>
      <c r="U38" s="19"/>
      <c r="V38" s="11"/>
      <c r="W38" s="11"/>
      <c r="X38" s="11"/>
      <c r="Y38" s="13"/>
      <c r="Z38" s="96" t="s">
        <v>5</v>
      </c>
      <c r="AA38" s="14"/>
      <c r="AB38" s="341" t="str">
        <f>IF(AB37="","",VLOOKUP(AB37,mco_99,2,FALSE))</f>
        <v/>
      </c>
      <c r="AC38" s="342"/>
      <c r="AD38" s="22"/>
      <c r="AE38" s="287" t="str">
        <f>IF(AE37="","",VLOOKUP(AE37,mco_101,2,FALSE))</f>
        <v/>
      </c>
      <c r="AF38" s="169"/>
      <c r="AG38" s="22"/>
      <c r="AH38" s="226" t="str">
        <f>IF(AH37="","",VLOOKUP(AH37,mco_101,2,FALSE))</f>
        <v/>
      </c>
      <c r="AI38" s="226"/>
      <c r="AJ38" s="14"/>
      <c r="AK38" s="226"/>
      <c r="AL38" s="226"/>
      <c r="AM38" s="14"/>
      <c r="AN38" s="303" t="str">
        <f>IF(AN37="","",VLOOKUP(AN37,mco_91,2,FALSE))</f>
        <v/>
      </c>
      <c r="AO38" s="304"/>
      <c r="AP38" s="14"/>
      <c r="AQ38" s="488" t="str">
        <f>IF(AQ37="","",VLOOKUP(AQ37,mco_91,2,FALSE))</f>
        <v/>
      </c>
      <c r="AR38" s="489"/>
      <c r="AS38" s="14"/>
      <c r="AT38" s="226"/>
      <c r="AU38" s="226"/>
      <c r="AV38" s="23"/>
      <c r="AW38" s="24"/>
      <c r="AX38" s="83"/>
      <c r="AY38" s="96" t="s">
        <v>5</v>
      </c>
      <c r="AZ38" s="84"/>
      <c r="BA38" s="205"/>
      <c r="BB38" s="206"/>
      <c r="BC38" s="84"/>
      <c r="BD38" s="205"/>
      <c r="BE38" s="206"/>
      <c r="BF38" s="84"/>
      <c r="BG38" s="170" t="str">
        <f>IF(BG37="","",VLOOKUP(BG37,ndrc_7,2,FALSE))</f>
        <v/>
      </c>
      <c r="BH38" s="171"/>
      <c r="BI38" s="84"/>
      <c r="BJ38" s="343" t="str">
        <f>IF(BJ37="","",VLOOKUP(BJ37,ndrc_5,2,FALSE))</f>
        <v/>
      </c>
      <c r="BK38" s="344"/>
      <c r="BL38" s="84"/>
      <c r="BM38" s="190"/>
      <c r="BN38" s="191"/>
      <c r="BO38" s="84"/>
      <c r="BP38" s="190"/>
      <c r="BQ38" s="191"/>
      <c r="BR38" s="84"/>
      <c r="BS38" s="435" t="str">
        <f>IF(BS37="","",VLOOKUP(BS37,rh_1,2,FALSE))</f>
        <v/>
      </c>
      <c r="BT38" s="436"/>
      <c r="BU38" s="84"/>
      <c r="BV38" s="250" t="str">
        <f>IF(BV37="","",VLOOKUP(BV37,m_3,2,FALSE))</f>
        <v/>
      </c>
      <c r="BW38" s="251"/>
      <c r="BX38" s="91"/>
      <c r="BY38" s="168"/>
      <c r="BZ38" s="169"/>
      <c r="CA38" s="92"/>
    </row>
    <row r="39" spans="1:79" customFormat="1" ht="11.45" customHeight="1" x14ac:dyDescent="0.25">
      <c r="A39" s="13"/>
      <c r="B39" s="30">
        <v>8</v>
      </c>
      <c r="C39" s="16"/>
      <c r="D39" s="312"/>
      <c r="E39" s="312"/>
      <c r="F39" s="16"/>
      <c r="G39" s="201"/>
      <c r="H39" s="202"/>
      <c r="I39" s="14"/>
      <c r="J39" s="310"/>
      <c r="K39" s="311"/>
      <c r="L39" s="16"/>
      <c r="M39" s="164"/>
      <c r="N39" s="165"/>
      <c r="O39" s="16"/>
      <c r="P39" s="168"/>
      <c r="Q39" s="169"/>
      <c r="R39" s="84"/>
      <c r="S39" s="168"/>
      <c r="T39" s="169"/>
      <c r="U39" s="19"/>
      <c r="V39" s="11"/>
      <c r="W39" s="11"/>
      <c r="X39" s="11"/>
      <c r="Y39" s="13"/>
      <c r="Z39" s="147">
        <v>8</v>
      </c>
      <c r="AA39" s="14"/>
      <c r="AB39" s="345"/>
      <c r="AC39" s="346"/>
      <c r="AD39" s="26"/>
      <c r="AE39" s="305"/>
      <c r="AF39" s="169"/>
      <c r="AG39" s="26"/>
      <c r="AH39" s="226"/>
      <c r="AI39" s="226"/>
      <c r="AJ39" s="14"/>
      <c r="AK39" s="226"/>
      <c r="AL39" s="226"/>
      <c r="AM39" s="14"/>
      <c r="AN39" s="308"/>
      <c r="AO39" s="309"/>
      <c r="AP39" s="14"/>
      <c r="AQ39" s="490"/>
      <c r="AR39" s="491"/>
      <c r="AS39" s="14"/>
      <c r="AT39" s="226"/>
      <c r="AU39" s="226"/>
      <c r="AV39" s="27"/>
      <c r="AW39" s="28"/>
      <c r="AX39" s="83"/>
      <c r="AY39" s="147">
        <v>8</v>
      </c>
      <c r="AZ39" s="84"/>
      <c r="BA39" s="207"/>
      <c r="BB39" s="208"/>
      <c r="BC39" s="84"/>
      <c r="BD39" s="207"/>
      <c r="BE39" s="208"/>
      <c r="BF39" s="84"/>
      <c r="BG39" s="176"/>
      <c r="BH39" s="177"/>
      <c r="BI39" s="84"/>
      <c r="BJ39" s="347"/>
      <c r="BK39" s="348"/>
      <c r="BL39" s="84"/>
      <c r="BM39" s="188"/>
      <c r="BN39" s="189"/>
      <c r="BO39" s="84"/>
      <c r="BP39" s="188"/>
      <c r="BQ39" s="189"/>
      <c r="BR39" s="84"/>
      <c r="BS39" s="437"/>
      <c r="BT39" s="438"/>
      <c r="BU39" s="84"/>
      <c r="BV39" s="252"/>
      <c r="BW39" s="253"/>
      <c r="BX39" s="94"/>
      <c r="BY39" s="168"/>
      <c r="BZ39" s="169"/>
      <c r="CA39" s="95"/>
    </row>
    <row r="40" spans="1:79" customFormat="1" ht="11.45" customHeight="1" x14ac:dyDescent="0.25">
      <c r="A40" s="13"/>
      <c r="B40" s="30"/>
      <c r="C40" s="16"/>
      <c r="D40" s="302"/>
      <c r="E40" s="302"/>
      <c r="F40" s="16"/>
      <c r="G40" s="226"/>
      <c r="H40" s="226"/>
      <c r="I40" s="14"/>
      <c r="J40" s="299"/>
      <c r="K40" s="299"/>
      <c r="L40" s="16"/>
      <c r="M40" s="363"/>
      <c r="N40" s="363"/>
      <c r="O40" s="16"/>
      <c r="P40" s="168"/>
      <c r="Q40" s="169"/>
      <c r="R40" s="84"/>
      <c r="S40" s="168"/>
      <c r="T40" s="169"/>
      <c r="U40" s="19"/>
      <c r="V40" s="11"/>
      <c r="W40" s="11"/>
      <c r="X40" s="11"/>
      <c r="Y40" s="13"/>
      <c r="Z40" s="147"/>
      <c r="AA40" s="14"/>
      <c r="AB40" s="337"/>
      <c r="AC40" s="338"/>
      <c r="AD40" s="26"/>
      <c r="AE40" s="319"/>
      <c r="AF40" s="320"/>
      <c r="AG40" s="26"/>
      <c r="AH40" s="226"/>
      <c r="AI40" s="226"/>
      <c r="AJ40" s="14"/>
      <c r="AK40" s="226" t="str">
        <f>IF(AK39="","",VLOOKUP(AK39,mco_105,2,FALSE))</f>
        <v/>
      </c>
      <c r="AL40" s="226"/>
      <c r="AM40" s="14"/>
      <c r="AN40" s="297"/>
      <c r="AO40" s="298"/>
      <c r="AP40" s="14"/>
      <c r="AQ40" s="492"/>
      <c r="AR40" s="493"/>
      <c r="AS40" s="14"/>
      <c r="AT40" s="226" t="str">
        <f>IF(AT39="","",VLOOKUP(AT39,mco_95,2,FALSE))</f>
        <v/>
      </c>
      <c r="AU40" s="226"/>
      <c r="AV40" s="27"/>
      <c r="AW40" s="28"/>
      <c r="AX40" s="83"/>
      <c r="AY40" s="147"/>
      <c r="AZ40" s="84"/>
      <c r="BA40" s="207" t="str">
        <f>IF(BA39="","",VLOOKUP(BA39,gpme_2,2,FALSE))</f>
        <v/>
      </c>
      <c r="BB40" s="208"/>
      <c r="BC40" s="84"/>
      <c r="BD40" s="207" t="str">
        <f>IF(BD39="","",VLOOKUP(BD39,gpme_1,2,FALSE))</f>
        <v/>
      </c>
      <c r="BE40" s="208"/>
      <c r="BF40" s="84"/>
      <c r="BG40" s="178"/>
      <c r="BH40" s="179"/>
      <c r="BI40" s="84"/>
      <c r="BJ40" s="349"/>
      <c r="BK40" s="350"/>
      <c r="BL40" s="84"/>
      <c r="BM40" s="188" t="str">
        <f>IF(BM39="","",VLOOKUP(BM39,rdc_16,2,FALSE))</f>
        <v/>
      </c>
      <c r="BN40" s="189"/>
      <c r="BO40" s="84"/>
      <c r="BP40" s="188" t="str">
        <f>IF(BP39="","",VLOOKUP(BP39,rdc_16,2,FALSE))</f>
        <v/>
      </c>
      <c r="BQ40" s="189"/>
      <c r="BR40" s="84"/>
      <c r="BS40" s="439"/>
      <c r="BT40" s="440"/>
      <c r="BU40" s="84"/>
      <c r="BV40" s="254"/>
      <c r="BW40" s="255"/>
      <c r="BX40" s="94"/>
      <c r="BY40" s="168" t="str">
        <f>IF(BY39="","",VLOOKUP(BY39,m_3,2,FALSE))</f>
        <v/>
      </c>
      <c r="BZ40" s="169"/>
      <c r="CA40" s="95"/>
    </row>
    <row r="41" spans="1:79" customFormat="1" ht="11.45" customHeight="1" x14ac:dyDescent="0.25">
      <c r="A41" s="13"/>
      <c r="B41" s="30"/>
      <c r="C41" s="16"/>
      <c r="D41" s="316"/>
      <c r="E41" s="316"/>
      <c r="F41" s="16"/>
      <c r="G41" s="226"/>
      <c r="H41" s="226"/>
      <c r="I41" s="14"/>
      <c r="J41" s="315"/>
      <c r="K41" s="315"/>
      <c r="L41" s="16"/>
      <c r="M41" s="226"/>
      <c r="N41" s="226"/>
      <c r="O41" s="16"/>
      <c r="P41" s="168"/>
      <c r="Q41" s="169"/>
      <c r="R41" s="84"/>
      <c r="S41" s="168"/>
      <c r="T41" s="169"/>
      <c r="U41" s="19"/>
      <c r="V41" s="11"/>
      <c r="W41" s="11"/>
      <c r="X41" s="11"/>
      <c r="Y41" s="13"/>
      <c r="Z41" s="147"/>
      <c r="AA41" s="14"/>
      <c r="AB41" s="341" t="str">
        <f>IF(AB40="","",VLOOKUP(AB40,mco_99,2,FALSE))</f>
        <v/>
      </c>
      <c r="AC41" s="342"/>
      <c r="AD41" s="22"/>
      <c r="AE41" s="287" t="str">
        <f>IF(AE40="","",VLOOKUP(AE40,mco_101,2,FALSE))</f>
        <v/>
      </c>
      <c r="AF41" s="169"/>
      <c r="AG41" s="22"/>
      <c r="AH41" s="226" t="str">
        <f>IF(AH40="","",VLOOKUP(AH40,mco_101,2,FALSE))</f>
        <v/>
      </c>
      <c r="AI41" s="226"/>
      <c r="AJ41" s="14"/>
      <c r="AK41" s="226"/>
      <c r="AL41" s="226"/>
      <c r="AM41" s="14"/>
      <c r="AN41" s="303" t="str">
        <f>IF(AN40="","",VLOOKUP(AN40,mco_91,2,FALSE))</f>
        <v/>
      </c>
      <c r="AO41" s="304"/>
      <c r="AP41" s="14"/>
      <c r="AQ41" s="488" t="str">
        <f>IF(AQ40="","",VLOOKUP(AQ40,mco_91,2,FALSE))</f>
        <v/>
      </c>
      <c r="AR41" s="489"/>
      <c r="AS41" s="14"/>
      <c r="AT41" s="226"/>
      <c r="AU41" s="226"/>
      <c r="AV41" s="23"/>
      <c r="AW41" s="24"/>
      <c r="AX41" s="83"/>
      <c r="AY41" s="147"/>
      <c r="AZ41" s="84"/>
      <c r="BA41" s="205"/>
      <c r="BB41" s="206"/>
      <c r="BC41" s="84"/>
      <c r="BD41" s="205"/>
      <c r="BE41" s="206"/>
      <c r="BF41" s="84"/>
      <c r="BG41" s="170" t="str">
        <f>IF(BG40="","",VLOOKUP(BG40,ndrc_7,2,FALSE))</f>
        <v/>
      </c>
      <c r="BH41" s="171"/>
      <c r="BI41" s="84"/>
      <c r="BJ41" s="343" t="str">
        <f>IF(BJ40="","",VLOOKUP(BJ40,ndrc_5,2,FALSE))</f>
        <v/>
      </c>
      <c r="BK41" s="344"/>
      <c r="BL41" s="84"/>
      <c r="BM41" s="190"/>
      <c r="BN41" s="191"/>
      <c r="BO41" s="84"/>
      <c r="BP41" s="190"/>
      <c r="BQ41" s="191"/>
      <c r="BR41" s="84"/>
      <c r="BS41" s="435" t="str">
        <f>IF(BS40="","",VLOOKUP(BS40,rh_1,2,FALSE))</f>
        <v/>
      </c>
      <c r="BT41" s="436"/>
      <c r="BU41" s="84"/>
      <c r="BV41" s="250" t="str">
        <f>IF(BV40="","",VLOOKUP(BV40,m_3,2,FALSE))</f>
        <v/>
      </c>
      <c r="BW41" s="251"/>
      <c r="BX41" s="91"/>
      <c r="BY41" s="168"/>
      <c r="BZ41" s="169"/>
      <c r="CA41" s="92"/>
    </row>
    <row r="42" spans="1:79" customFormat="1" ht="11.45" customHeight="1" thickBot="1" x14ac:dyDescent="0.3">
      <c r="A42" s="13"/>
      <c r="B42" s="32"/>
      <c r="C42" s="16"/>
      <c r="D42" s="282"/>
      <c r="E42" s="282"/>
      <c r="F42" s="16"/>
      <c r="G42" s="281"/>
      <c r="H42" s="281"/>
      <c r="I42" s="14"/>
      <c r="J42" s="279"/>
      <c r="K42" s="280"/>
      <c r="L42" s="16"/>
      <c r="M42" s="281"/>
      <c r="N42" s="281"/>
      <c r="O42" s="16"/>
      <c r="P42" s="263"/>
      <c r="Q42" s="264"/>
      <c r="R42" s="84"/>
      <c r="S42" s="263"/>
      <c r="T42" s="264"/>
      <c r="U42" s="19"/>
      <c r="V42" s="11"/>
      <c r="W42" s="11"/>
      <c r="X42" s="11"/>
      <c r="Y42" s="13"/>
      <c r="Z42" s="98"/>
      <c r="AA42" s="14"/>
      <c r="AB42" s="331"/>
      <c r="AC42" s="332"/>
      <c r="AD42" s="26"/>
      <c r="AE42" s="291"/>
      <c r="AF42" s="292"/>
      <c r="AG42" s="26"/>
      <c r="AH42" s="281"/>
      <c r="AI42" s="281"/>
      <c r="AJ42" s="14"/>
      <c r="AK42" s="281"/>
      <c r="AL42" s="281"/>
      <c r="AM42" s="14"/>
      <c r="AN42" s="295"/>
      <c r="AO42" s="296"/>
      <c r="AP42" s="14"/>
      <c r="AQ42" s="494"/>
      <c r="AR42" s="495"/>
      <c r="AS42" s="14"/>
      <c r="AT42" s="281"/>
      <c r="AU42" s="281"/>
      <c r="AV42" s="27"/>
      <c r="AW42" s="28"/>
      <c r="AX42" s="83"/>
      <c r="AY42" s="98"/>
      <c r="AZ42" s="84"/>
      <c r="BA42" s="209"/>
      <c r="BB42" s="210"/>
      <c r="BC42" s="84"/>
      <c r="BD42" s="209"/>
      <c r="BE42" s="210"/>
      <c r="BF42" s="84"/>
      <c r="BG42" s="172"/>
      <c r="BH42" s="173"/>
      <c r="BI42" s="84"/>
      <c r="BJ42" s="327"/>
      <c r="BK42" s="328"/>
      <c r="BL42" s="84"/>
      <c r="BM42" s="427"/>
      <c r="BN42" s="428"/>
      <c r="BO42" s="84"/>
      <c r="BP42" s="427"/>
      <c r="BQ42" s="428"/>
      <c r="BR42" s="84"/>
      <c r="BS42" s="444"/>
      <c r="BT42" s="445"/>
      <c r="BU42" s="84"/>
      <c r="BV42" s="256"/>
      <c r="BW42" s="257"/>
      <c r="BX42" s="94"/>
      <c r="BY42" s="263"/>
      <c r="BZ42" s="264"/>
      <c r="CA42" s="95"/>
    </row>
    <row r="43" spans="1:79" customFormat="1" ht="11.45" customHeight="1" x14ac:dyDescent="0.25">
      <c r="A43" s="13"/>
      <c r="B43" s="25"/>
      <c r="C43" s="16"/>
      <c r="D43" s="424"/>
      <c r="E43" s="424"/>
      <c r="F43" s="18"/>
      <c r="G43" s="371"/>
      <c r="H43" s="371"/>
      <c r="I43" s="14"/>
      <c r="J43" s="362"/>
      <c r="K43" s="362"/>
      <c r="L43" s="16"/>
      <c r="M43" s="225"/>
      <c r="N43" s="225"/>
      <c r="O43" s="16"/>
      <c r="P43" s="186"/>
      <c r="Q43" s="187"/>
      <c r="R43" s="17"/>
      <c r="S43" s="273"/>
      <c r="T43" s="274"/>
      <c r="U43" s="19"/>
      <c r="V43" s="11"/>
      <c r="W43" s="11"/>
      <c r="X43" s="11"/>
      <c r="Y43" s="13"/>
      <c r="Z43" s="93"/>
      <c r="AA43" s="14"/>
      <c r="AB43" s="225" t="str">
        <f>IF(AB42="","",VLOOKUP(AB42,mco_105,2,FALSE))</f>
        <v/>
      </c>
      <c r="AC43" s="225"/>
      <c r="AD43" s="26"/>
      <c r="AE43" s="357"/>
      <c r="AF43" s="266"/>
      <c r="AG43" s="26"/>
      <c r="AH43" s="419"/>
      <c r="AI43" s="420"/>
      <c r="AJ43" s="14"/>
      <c r="AK43" s="225"/>
      <c r="AL43" s="225"/>
      <c r="AM43" s="14"/>
      <c r="AN43" s="242"/>
      <c r="AO43" s="243"/>
      <c r="AP43" s="14"/>
      <c r="AQ43" s="486"/>
      <c r="AR43" s="487"/>
      <c r="AS43" s="14"/>
      <c r="AT43" s="225"/>
      <c r="AU43" s="225"/>
      <c r="AV43" s="27"/>
      <c r="AW43" s="28"/>
      <c r="AX43" s="83"/>
      <c r="AY43" s="93"/>
      <c r="AZ43" s="84"/>
      <c r="BA43" s="194"/>
      <c r="BB43" s="195"/>
      <c r="BC43" s="84"/>
      <c r="BD43" s="194"/>
      <c r="BE43" s="195"/>
      <c r="BF43" s="84"/>
      <c r="BG43" s="194"/>
      <c r="BH43" s="195"/>
      <c r="BI43" s="84"/>
      <c r="BJ43" s="194"/>
      <c r="BK43" s="195"/>
      <c r="BL43" s="84"/>
      <c r="BM43" s="265"/>
      <c r="BN43" s="266"/>
      <c r="BO43" s="84"/>
      <c r="BP43" s="194"/>
      <c r="BQ43" s="195"/>
      <c r="BR43" s="84"/>
      <c r="BS43" s="442"/>
      <c r="BT43" s="443"/>
      <c r="BU43" s="84"/>
      <c r="BV43" s="261"/>
      <c r="BW43" s="262"/>
      <c r="BX43" s="94"/>
      <c r="BY43" s="265"/>
      <c r="BZ43" s="266"/>
      <c r="CA43" s="95"/>
    </row>
    <row r="44" spans="1:79" customFormat="1" ht="11.45" customHeight="1" x14ac:dyDescent="0.25">
      <c r="A44" s="13"/>
      <c r="B44" s="29" t="s">
        <v>6</v>
      </c>
      <c r="C44" s="16"/>
      <c r="D44" s="316"/>
      <c r="E44" s="316"/>
      <c r="F44" s="18"/>
      <c r="G44" s="226"/>
      <c r="H44" s="226"/>
      <c r="I44" s="14"/>
      <c r="J44" s="315"/>
      <c r="K44" s="315"/>
      <c r="L44" s="16"/>
      <c r="M44" s="226"/>
      <c r="N44" s="226"/>
      <c r="O44" s="16"/>
      <c r="P44" s="164"/>
      <c r="Q44" s="165"/>
      <c r="R44" s="17"/>
      <c r="S44" s="201"/>
      <c r="T44" s="202"/>
      <c r="U44" s="19"/>
      <c r="V44" s="11"/>
      <c r="W44" s="11"/>
      <c r="X44" s="11"/>
      <c r="Y44" s="13"/>
      <c r="Z44" s="96" t="s">
        <v>6</v>
      </c>
      <c r="AA44" s="14"/>
      <c r="AB44" s="226"/>
      <c r="AC44" s="226"/>
      <c r="AD44" s="22"/>
      <c r="AE44" s="287" t="str">
        <f>IF(AE43="","",VLOOKUP(AE43,mco_101,2,FALSE))</f>
        <v/>
      </c>
      <c r="AF44" s="169"/>
      <c r="AG44" s="22"/>
      <c r="AH44" s="313" t="str">
        <f>IF(AH43="","",VLOOKUP(AH43,mco_103,2,FALSE))</f>
        <v/>
      </c>
      <c r="AI44" s="314"/>
      <c r="AJ44" s="14"/>
      <c r="AK44" s="226" t="str">
        <f>IF(AK43="","",VLOOKUP(AK43,mco_105,2,FALSE))</f>
        <v/>
      </c>
      <c r="AL44" s="226"/>
      <c r="AM44" s="14"/>
      <c r="AN44" s="244" t="str">
        <f>IF(AN43="","",VLOOKUP(AN43,mco_89,2,FALSE))</f>
        <v/>
      </c>
      <c r="AO44" s="245"/>
      <c r="AP44" s="14"/>
      <c r="AQ44" s="488" t="str">
        <f>IF(AQ43="","",VLOOKUP(AQ43,mco_91,2,FALSE))</f>
        <v/>
      </c>
      <c r="AR44" s="489"/>
      <c r="AS44" s="14"/>
      <c r="AT44" s="226" t="str">
        <f>IF(AT43="","",VLOOKUP(AT43,mco_95,2,FALSE))</f>
        <v/>
      </c>
      <c r="AU44" s="226"/>
      <c r="AV44" s="23"/>
      <c r="AW44" s="24"/>
      <c r="AX44" s="83"/>
      <c r="AY44" s="96" t="s">
        <v>6</v>
      </c>
      <c r="AZ44" s="84"/>
      <c r="BA44" s="205" t="str">
        <f>IF(BA43="","",VLOOKUP(BA43,gpme_2,2,FALSE))</f>
        <v/>
      </c>
      <c r="BB44" s="206"/>
      <c r="BC44" s="84"/>
      <c r="BD44" s="205" t="str">
        <f>IF(BD43="","",VLOOKUP(BD43,gpme_1,2,FALSE))</f>
        <v/>
      </c>
      <c r="BE44" s="206"/>
      <c r="BF44" s="84"/>
      <c r="BG44" s="205" t="str">
        <f>IF(BG43="","",VLOOKUP(BG43,ndrc_5,2,FALSE))</f>
        <v/>
      </c>
      <c r="BH44" s="206"/>
      <c r="BI44" s="84"/>
      <c r="BJ44" s="205" t="str">
        <f>IF(BJ43="","",VLOOKUP(BJ43,ndrc_5,2,FALSE))</f>
        <v/>
      </c>
      <c r="BK44" s="206"/>
      <c r="BL44" s="84"/>
      <c r="BM44" s="168" t="str">
        <f>IF(BM43="","",VLOOKUP(BM43,rdc_14,2,FALSE))</f>
        <v/>
      </c>
      <c r="BN44" s="169"/>
      <c r="BO44" s="84"/>
      <c r="BP44" s="205" t="str">
        <f>IF(BP43="","",VLOOKUP(BP43,rdc_16,2,FALSE))</f>
        <v/>
      </c>
      <c r="BQ44" s="206"/>
      <c r="BR44" s="84"/>
      <c r="BS44" s="435" t="str">
        <f>IF(BS43="","",VLOOKUP(BS43,rh_1,2,FALSE))</f>
        <v/>
      </c>
      <c r="BT44" s="436"/>
      <c r="BU44" s="84"/>
      <c r="BV44" s="250" t="str">
        <f>IF(BV43="","",VLOOKUP(BV43,m_3,2,FALSE))</f>
        <v/>
      </c>
      <c r="BW44" s="251"/>
      <c r="BX44" s="91"/>
      <c r="BY44" s="168" t="str">
        <f>IF(BY43="","",VLOOKUP(BY43,m_3,2,FALSE))</f>
        <v/>
      </c>
      <c r="BZ44" s="169"/>
      <c r="CA44" s="92"/>
    </row>
    <row r="45" spans="1:79" customFormat="1" ht="11.45" customHeight="1" x14ac:dyDescent="0.25">
      <c r="A45" s="13"/>
      <c r="B45" s="30">
        <v>9</v>
      </c>
      <c r="C45" s="16"/>
      <c r="D45" s="312"/>
      <c r="E45" s="312"/>
      <c r="F45" s="18"/>
      <c r="G45" s="226"/>
      <c r="H45" s="226"/>
      <c r="I45" s="14"/>
      <c r="J45" s="310"/>
      <c r="K45" s="311"/>
      <c r="L45" s="16"/>
      <c r="M45" s="226"/>
      <c r="N45" s="226"/>
      <c r="O45" s="16"/>
      <c r="P45" s="182"/>
      <c r="Q45" s="183"/>
      <c r="R45" s="17"/>
      <c r="S45" s="201"/>
      <c r="T45" s="202"/>
      <c r="U45" s="19"/>
      <c r="V45" s="11"/>
      <c r="W45" s="11"/>
      <c r="X45" s="11"/>
      <c r="Y45" s="13"/>
      <c r="Z45" s="147">
        <v>9</v>
      </c>
      <c r="AA45" s="14"/>
      <c r="AB45" s="226"/>
      <c r="AC45" s="226"/>
      <c r="AD45" s="26"/>
      <c r="AE45" s="305"/>
      <c r="AF45" s="169"/>
      <c r="AG45" s="26"/>
      <c r="AH45" s="293"/>
      <c r="AI45" s="294"/>
      <c r="AJ45" s="14"/>
      <c r="AK45" s="241"/>
      <c r="AL45" s="241"/>
      <c r="AM45" s="14"/>
      <c r="AN45" s="246"/>
      <c r="AO45" s="247"/>
      <c r="AP45" s="14"/>
      <c r="AQ45" s="490"/>
      <c r="AR45" s="491"/>
      <c r="AS45" s="14"/>
      <c r="AT45" s="226"/>
      <c r="AU45" s="226"/>
      <c r="AV45" s="27"/>
      <c r="AW45" s="28"/>
      <c r="AX45" s="83"/>
      <c r="AY45" s="147">
        <v>9</v>
      </c>
      <c r="AZ45" s="84"/>
      <c r="BA45" s="207"/>
      <c r="BB45" s="208"/>
      <c r="BC45" s="84"/>
      <c r="BD45" s="207"/>
      <c r="BE45" s="208"/>
      <c r="BF45" s="84"/>
      <c r="BG45" s="207"/>
      <c r="BH45" s="208"/>
      <c r="BI45" s="84"/>
      <c r="BJ45" s="207"/>
      <c r="BK45" s="208"/>
      <c r="BL45" s="84"/>
      <c r="BM45" s="168"/>
      <c r="BN45" s="169"/>
      <c r="BO45" s="84"/>
      <c r="BP45" s="207"/>
      <c r="BQ45" s="208"/>
      <c r="BR45" s="84"/>
      <c r="BS45" s="437"/>
      <c r="BT45" s="438"/>
      <c r="BU45" s="84"/>
      <c r="BV45" s="252"/>
      <c r="BW45" s="253"/>
      <c r="BX45" s="94"/>
      <c r="BY45" s="168"/>
      <c r="BZ45" s="169"/>
      <c r="CA45" s="95"/>
    </row>
    <row r="46" spans="1:79" customFormat="1" ht="11.45" customHeight="1" x14ac:dyDescent="0.25">
      <c r="A46" s="13"/>
      <c r="B46" s="30"/>
      <c r="C46" s="16"/>
      <c r="D46" s="302"/>
      <c r="E46" s="302"/>
      <c r="F46" s="18"/>
      <c r="G46" s="363"/>
      <c r="H46" s="363"/>
      <c r="I46" s="14"/>
      <c r="J46" s="299"/>
      <c r="K46" s="299"/>
      <c r="L46" s="16"/>
      <c r="M46" s="226"/>
      <c r="N46" s="226"/>
      <c r="O46" s="16"/>
      <c r="P46" s="182"/>
      <c r="Q46" s="183"/>
      <c r="R46" s="17"/>
      <c r="S46" s="201"/>
      <c r="T46" s="202"/>
      <c r="U46" s="19"/>
      <c r="V46" s="11"/>
      <c r="W46" s="11"/>
      <c r="X46" s="11"/>
      <c r="Y46" s="13"/>
      <c r="Z46" s="147"/>
      <c r="AA46" s="14"/>
      <c r="AB46" s="226" t="str">
        <f>IF(AB45="","",VLOOKUP(AB45,mco_105,2,FALSE))</f>
        <v/>
      </c>
      <c r="AC46" s="226"/>
      <c r="AD46" s="26"/>
      <c r="AE46" s="319"/>
      <c r="AF46" s="320"/>
      <c r="AG46" s="26"/>
      <c r="AH46" s="321"/>
      <c r="AI46" s="322"/>
      <c r="AJ46" s="14"/>
      <c r="AK46" s="241"/>
      <c r="AL46" s="241"/>
      <c r="AM46" s="14"/>
      <c r="AN46" s="246"/>
      <c r="AO46" s="247"/>
      <c r="AP46" s="14"/>
      <c r="AQ46" s="492"/>
      <c r="AR46" s="493"/>
      <c r="AS46" s="14"/>
      <c r="AT46" s="226"/>
      <c r="AU46" s="226"/>
      <c r="AV46" s="27"/>
      <c r="AW46" s="28"/>
      <c r="AX46" s="83"/>
      <c r="AY46" s="147"/>
      <c r="AZ46" s="84"/>
      <c r="BA46" s="207"/>
      <c r="BB46" s="208"/>
      <c r="BC46" s="84"/>
      <c r="BD46" s="207"/>
      <c r="BE46" s="208"/>
      <c r="BF46" s="84"/>
      <c r="BG46" s="207"/>
      <c r="BH46" s="208"/>
      <c r="BI46" s="84"/>
      <c r="BJ46" s="207"/>
      <c r="BK46" s="208"/>
      <c r="BL46" s="84"/>
      <c r="BM46" s="168"/>
      <c r="BN46" s="169"/>
      <c r="BO46" s="84"/>
      <c r="BP46" s="207"/>
      <c r="BQ46" s="208"/>
      <c r="BR46" s="84"/>
      <c r="BS46" s="439"/>
      <c r="BT46" s="440"/>
      <c r="BU46" s="84"/>
      <c r="BV46" s="254"/>
      <c r="BW46" s="255"/>
      <c r="BX46" s="94"/>
      <c r="BY46" s="168"/>
      <c r="BZ46" s="169"/>
      <c r="CA46" s="95"/>
    </row>
    <row r="47" spans="1:79" customFormat="1" ht="11.45" customHeight="1" x14ac:dyDescent="0.25">
      <c r="A47" s="13"/>
      <c r="B47" s="30"/>
      <c r="C47" s="16"/>
      <c r="D47" s="316"/>
      <c r="E47" s="316"/>
      <c r="F47" s="18"/>
      <c r="G47" s="226"/>
      <c r="H47" s="226"/>
      <c r="I47" s="14"/>
      <c r="J47" s="315"/>
      <c r="K47" s="315"/>
      <c r="L47" s="16"/>
      <c r="M47" s="226"/>
      <c r="N47" s="226"/>
      <c r="O47" s="16"/>
      <c r="P47" s="164"/>
      <c r="Q47" s="165"/>
      <c r="R47" s="17"/>
      <c r="S47" s="201"/>
      <c r="T47" s="202"/>
      <c r="U47" s="19"/>
      <c r="V47" s="11"/>
      <c r="W47" s="11"/>
      <c r="X47" s="11"/>
      <c r="Y47" s="13"/>
      <c r="Z47" s="147"/>
      <c r="AA47" s="14"/>
      <c r="AB47" s="226"/>
      <c r="AC47" s="226"/>
      <c r="AD47" s="22"/>
      <c r="AE47" s="287" t="str">
        <f>IF(AE46="","",VLOOKUP(AE46,mco_101,2,FALSE))</f>
        <v/>
      </c>
      <c r="AF47" s="169"/>
      <c r="AG47" s="22"/>
      <c r="AH47" s="313" t="str">
        <f>IF(AH46="","",VLOOKUP(AH46,mco_103,2,FALSE))</f>
        <v/>
      </c>
      <c r="AI47" s="314"/>
      <c r="AJ47" s="14"/>
      <c r="AK47" s="241" t="str">
        <f>IF(AK46="","",VLOOKUP(AK46,mco_105,2,FALSE))</f>
        <v/>
      </c>
      <c r="AL47" s="241"/>
      <c r="AM47" s="14"/>
      <c r="AN47" s="244" t="str">
        <f>IF(AN46="","",VLOOKUP(AN46,mco_89,2,FALSE))</f>
        <v/>
      </c>
      <c r="AO47" s="245"/>
      <c r="AP47" s="14"/>
      <c r="AQ47" s="488" t="str">
        <f>IF(AQ46="","",VLOOKUP(AQ46,mco_91,2,FALSE))</f>
        <v/>
      </c>
      <c r="AR47" s="489"/>
      <c r="AS47" s="14"/>
      <c r="AT47" s="226" t="str">
        <f>IF(AT46="","",VLOOKUP(AT46,mco_95,2,FALSE))</f>
        <v/>
      </c>
      <c r="AU47" s="226"/>
      <c r="AV47" s="23"/>
      <c r="AW47" s="24"/>
      <c r="AX47" s="83"/>
      <c r="AY47" s="147"/>
      <c r="AZ47" s="84"/>
      <c r="BA47" s="205" t="str">
        <f>IF(BA46="","",VLOOKUP(BA46,gpme_2,2,FALSE))</f>
        <v/>
      </c>
      <c r="BB47" s="206"/>
      <c r="BC47" s="84"/>
      <c r="BD47" s="205" t="str">
        <f>IF(BD46="","",VLOOKUP(BD46,gpme_1,2,FALSE))</f>
        <v/>
      </c>
      <c r="BE47" s="206"/>
      <c r="BF47" s="84"/>
      <c r="BG47" s="205" t="str">
        <f>IF(BG46="","",VLOOKUP(BG46,ndrc_5,2,FALSE))</f>
        <v/>
      </c>
      <c r="BH47" s="206"/>
      <c r="BI47" s="84"/>
      <c r="BJ47" s="205" t="str">
        <f>IF(BJ46="","",VLOOKUP(BJ46,ndrc_5,2,FALSE))</f>
        <v/>
      </c>
      <c r="BK47" s="206"/>
      <c r="BL47" s="84"/>
      <c r="BM47" s="168" t="str">
        <f>IF(BM46="","",VLOOKUP(BM46,rdc_14,2,FALSE))</f>
        <v/>
      </c>
      <c r="BN47" s="169"/>
      <c r="BO47" s="84"/>
      <c r="BP47" s="205" t="str">
        <f>IF(BP46="","",VLOOKUP(BP46,rdc_16,2,FALSE))</f>
        <v/>
      </c>
      <c r="BQ47" s="206"/>
      <c r="BR47" s="84"/>
      <c r="BS47" s="435" t="str">
        <f>IF(BS46="","",VLOOKUP(BS46,rh_1,2,FALSE))</f>
        <v/>
      </c>
      <c r="BT47" s="436"/>
      <c r="BU47" s="84"/>
      <c r="BV47" s="250" t="str">
        <f>IF(BV46="","",VLOOKUP(BV46,m_3,2,FALSE))</f>
        <v/>
      </c>
      <c r="BW47" s="251"/>
      <c r="BX47" s="91"/>
      <c r="BY47" s="168" t="str">
        <f>IF(BY46="","",VLOOKUP(BY46,m_3,2,FALSE))</f>
        <v/>
      </c>
      <c r="BZ47" s="169"/>
      <c r="CA47" s="92"/>
    </row>
    <row r="48" spans="1:79" customFormat="1" ht="11.45" customHeight="1" thickBot="1" x14ac:dyDescent="0.3">
      <c r="A48" s="13"/>
      <c r="B48" s="32"/>
      <c r="C48" s="16"/>
      <c r="D48" s="282"/>
      <c r="E48" s="282"/>
      <c r="F48" s="18"/>
      <c r="G48" s="281"/>
      <c r="H48" s="281"/>
      <c r="I48" s="14"/>
      <c r="J48" s="279"/>
      <c r="K48" s="280"/>
      <c r="L48" s="16"/>
      <c r="M48" s="281"/>
      <c r="N48" s="281"/>
      <c r="O48" s="16"/>
      <c r="P48" s="184"/>
      <c r="Q48" s="185"/>
      <c r="R48" s="17"/>
      <c r="S48" s="203"/>
      <c r="T48" s="204"/>
      <c r="U48" s="19"/>
      <c r="V48" s="11"/>
      <c r="W48" s="11"/>
      <c r="X48" s="11"/>
      <c r="Y48" s="13"/>
      <c r="Z48" s="98"/>
      <c r="AA48" s="14"/>
      <c r="AB48" s="281"/>
      <c r="AC48" s="281"/>
      <c r="AD48" s="26"/>
      <c r="AE48" s="291"/>
      <c r="AF48" s="292"/>
      <c r="AG48" s="26"/>
      <c r="AH48" s="413"/>
      <c r="AI48" s="414"/>
      <c r="AJ48" s="14"/>
      <c r="AK48" s="290"/>
      <c r="AL48" s="290"/>
      <c r="AM48" s="14"/>
      <c r="AN48" s="248"/>
      <c r="AO48" s="249"/>
      <c r="AP48" s="14"/>
      <c r="AQ48" s="494"/>
      <c r="AR48" s="495"/>
      <c r="AS48" s="14"/>
      <c r="AT48" s="281"/>
      <c r="AU48" s="281"/>
      <c r="AV48" s="27"/>
      <c r="AW48" s="28"/>
      <c r="AX48" s="83"/>
      <c r="AY48" s="98"/>
      <c r="AZ48" s="84"/>
      <c r="BA48" s="209"/>
      <c r="BB48" s="210"/>
      <c r="BC48" s="84"/>
      <c r="BD48" s="209"/>
      <c r="BE48" s="210"/>
      <c r="BF48" s="84"/>
      <c r="BG48" s="209"/>
      <c r="BH48" s="210"/>
      <c r="BI48" s="84"/>
      <c r="BJ48" s="209"/>
      <c r="BK48" s="210"/>
      <c r="BL48" s="84"/>
      <c r="BM48" s="263"/>
      <c r="BN48" s="264"/>
      <c r="BO48" s="84"/>
      <c r="BP48" s="209"/>
      <c r="BQ48" s="210"/>
      <c r="BR48" s="84"/>
      <c r="BS48" s="444"/>
      <c r="BT48" s="445"/>
      <c r="BU48" s="84"/>
      <c r="BV48" s="256"/>
      <c r="BW48" s="257"/>
      <c r="BX48" s="94"/>
      <c r="BY48" s="263"/>
      <c r="BZ48" s="264"/>
      <c r="CA48" s="95"/>
    </row>
    <row r="49" spans="1:79" s="63" customFormat="1" ht="11.45" customHeight="1" x14ac:dyDescent="0.25">
      <c r="A49" s="13"/>
      <c r="B49" s="25"/>
      <c r="C49" s="16"/>
      <c r="D49" s="273"/>
      <c r="E49" s="274"/>
      <c r="F49" s="16"/>
      <c r="G49" s="394"/>
      <c r="H49" s="394"/>
      <c r="I49" s="14"/>
      <c r="J49" s="273"/>
      <c r="K49" s="274"/>
      <c r="L49" s="16"/>
      <c r="M49" s="393"/>
      <c r="N49" s="393"/>
      <c r="O49" s="16"/>
      <c r="P49" s="186"/>
      <c r="Q49" s="187"/>
      <c r="R49" s="17"/>
      <c r="S49" s="273"/>
      <c r="T49" s="274"/>
      <c r="U49" s="19"/>
      <c r="V49" s="11"/>
      <c r="W49" s="11"/>
      <c r="X49" s="11"/>
      <c r="Y49" s="13"/>
      <c r="Z49" s="93"/>
      <c r="AA49" s="14"/>
      <c r="AB49" s="225" t="str">
        <f>IF(AB48="","",VLOOKUP(AB48,mco_105,2,FALSE))</f>
        <v/>
      </c>
      <c r="AC49" s="225"/>
      <c r="AD49" s="26"/>
      <c r="AE49" s="409"/>
      <c r="AF49" s="409"/>
      <c r="AG49" s="26"/>
      <c r="AH49" s="419"/>
      <c r="AI49" s="420"/>
      <c r="AJ49" s="14"/>
      <c r="AK49" s="235"/>
      <c r="AL49" s="236"/>
      <c r="AM49" s="14"/>
      <c r="AN49" s="242"/>
      <c r="AO49" s="243"/>
      <c r="AP49" s="14"/>
      <c r="AQ49" s="273"/>
      <c r="AR49" s="274"/>
      <c r="AS49" s="14"/>
      <c r="AT49" s="174"/>
      <c r="AU49" s="498"/>
      <c r="AV49" s="27"/>
      <c r="AW49" s="28"/>
      <c r="AX49" s="83"/>
      <c r="AY49" s="93"/>
      <c r="AZ49" s="84"/>
      <c r="BA49" s="221"/>
      <c r="BB49" s="222"/>
      <c r="BC49" s="84"/>
      <c r="BD49" s="230"/>
      <c r="BE49" s="231"/>
      <c r="BF49" s="84"/>
      <c r="BG49" s="194"/>
      <c r="BH49" s="195"/>
      <c r="BI49" s="84"/>
      <c r="BJ49" s="194"/>
      <c r="BK49" s="195"/>
      <c r="BL49" s="84"/>
      <c r="BM49" s="265"/>
      <c r="BN49" s="266"/>
      <c r="BO49" s="84"/>
      <c r="BP49" s="194"/>
      <c r="BQ49" s="195"/>
      <c r="BR49" s="84"/>
      <c r="BS49" s="442"/>
      <c r="BT49" s="443"/>
      <c r="BU49" s="84"/>
      <c r="BV49" s="261"/>
      <c r="BW49" s="262"/>
      <c r="BX49" s="94"/>
      <c r="BY49" s="265"/>
      <c r="BZ49" s="266"/>
      <c r="CA49" s="95"/>
    </row>
    <row r="50" spans="1:79" customFormat="1" ht="11.45" customHeight="1" x14ac:dyDescent="0.25">
      <c r="A50" s="13"/>
      <c r="B50" s="29" t="s">
        <v>157</v>
      </c>
      <c r="C50" s="16"/>
      <c r="D50" s="226"/>
      <c r="E50" s="226"/>
      <c r="F50" s="16"/>
      <c r="G50" s="379"/>
      <c r="H50" s="379"/>
      <c r="I50" s="14"/>
      <c r="J50" s="226"/>
      <c r="K50" s="226"/>
      <c r="L50" s="16"/>
      <c r="M50" s="392"/>
      <c r="N50" s="392"/>
      <c r="O50" s="16"/>
      <c r="P50" s="164"/>
      <c r="Q50" s="165"/>
      <c r="R50" s="17"/>
      <c r="S50" s="201"/>
      <c r="T50" s="202"/>
      <c r="U50" s="19"/>
      <c r="V50" s="11"/>
      <c r="W50" s="11"/>
      <c r="X50" s="11"/>
      <c r="Y50" s="13"/>
      <c r="Z50" s="96" t="s">
        <v>157</v>
      </c>
      <c r="AA50" s="14"/>
      <c r="AB50" s="226"/>
      <c r="AC50" s="226"/>
      <c r="AD50" s="22"/>
      <c r="AE50" s="241" t="str">
        <f>IF(AE49="","",VLOOKUP(AE49,mco_101,2,FALSE))</f>
        <v/>
      </c>
      <c r="AF50" s="241"/>
      <c r="AG50" s="22"/>
      <c r="AH50" s="313" t="str">
        <f>IF(AH49="","",VLOOKUP(AH49,mco_103,2,FALSE))</f>
        <v/>
      </c>
      <c r="AI50" s="314"/>
      <c r="AJ50" s="14"/>
      <c r="AK50" s="228" t="str">
        <f>IF(AK49="","",VLOOKUP(AK49,mco_105,2,FALSE))</f>
        <v/>
      </c>
      <c r="AL50" s="229"/>
      <c r="AM50" s="14"/>
      <c r="AN50" s="244" t="str">
        <f>IF(AN49="","",VLOOKUP(AN49,mco_89,2,FALSE))</f>
        <v/>
      </c>
      <c r="AO50" s="245"/>
      <c r="AP50" s="14"/>
      <c r="AQ50" s="226" t="str">
        <f>IF(AQ49="","",VLOOKUP(AQ49,mco_91,2,FALSE))</f>
        <v/>
      </c>
      <c r="AR50" s="226"/>
      <c r="AS50" s="14"/>
      <c r="AT50" s="170" t="str">
        <f>IF(AT49="","",VLOOKUP(AT49,mco_95,2,FALSE))</f>
        <v/>
      </c>
      <c r="AU50" s="499"/>
      <c r="AV50" s="23"/>
      <c r="AW50" s="24"/>
      <c r="AX50" s="83"/>
      <c r="AY50" s="96" t="s">
        <v>157</v>
      </c>
      <c r="AZ50" s="84"/>
      <c r="BA50" s="213" t="str">
        <f>IF(BA49="","",VLOOKUP(BA49,gpme_2,2,FALSE))</f>
        <v/>
      </c>
      <c r="BB50" s="214"/>
      <c r="BC50" s="84"/>
      <c r="BD50" s="275" t="str">
        <f>IF(BD49="","",VLOOKUP(BD49,gpme_1,2,FALSE))</f>
        <v/>
      </c>
      <c r="BE50" s="276"/>
      <c r="BF50" s="84"/>
      <c r="BG50" s="205" t="str">
        <f>IF(BG49="","",VLOOKUP(BG49,ndrc_5,2,FALSE))</f>
        <v/>
      </c>
      <c r="BH50" s="206"/>
      <c r="BI50" s="84"/>
      <c r="BJ50" s="205" t="str">
        <f>IF(BJ49="","",VLOOKUP(BJ49,ndrc_5,2,FALSE))</f>
        <v/>
      </c>
      <c r="BK50" s="206"/>
      <c r="BL50" s="84"/>
      <c r="BM50" s="168" t="str">
        <f>IF(BM49="","",VLOOKUP(BM49,rdc_14,2,FALSE))</f>
        <v/>
      </c>
      <c r="BN50" s="169"/>
      <c r="BO50" s="84"/>
      <c r="BP50" s="205" t="str">
        <f>IF(BP49="","",VLOOKUP(BP49,rdc_16,2,FALSE))</f>
        <v/>
      </c>
      <c r="BQ50" s="206"/>
      <c r="BR50" s="84"/>
      <c r="BS50" s="435" t="str">
        <f>IF(BS49="","",VLOOKUP(BS49,rh_1,2,FALSE))</f>
        <v/>
      </c>
      <c r="BT50" s="436"/>
      <c r="BU50" s="84"/>
      <c r="BV50" s="250" t="str">
        <f>IF(BV49="","",VLOOKUP(BV49,m_3,2,FALSE))</f>
        <v/>
      </c>
      <c r="BW50" s="251"/>
      <c r="BX50" s="91"/>
      <c r="BY50" s="168" t="str">
        <f>IF(BY49="","",VLOOKUP(BY49,m_3,2,FALSE))</f>
        <v/>
      </c>
      <c r="BZ50" s="169"/>
      <c r="CA50" s="92"/>
    </row>
    <row r="51" spans="1:79" customFormat="1" ht="11.45" customHeight="1" x14ac:dyDescent="0.25">
      <c r="A51" s="13"/>
      <c r="B51" s="30">
        <v>10</v>
      </c>
      <c r="C51" s="16"/>
      <c r="D51" s="226"/>
      <c r="E51" s="226"/>
      <c r="F51" s="16"/>
      <c r="G51" s="387"/>
      <c r="H51" s="387"/>
      <c r="I51" s="14"/>
      <c r="J51" s="241"/>
      <c r="K51" s="241"/>
      <c r="L51" s="16"/>
      <c r="M51" s="386"/>
      <c r="N51" s="386"/>
      <c r="O51" s="16"/>
      <c r="P51" s="182"/>
      <c r="Q51" s="183"/>
      <c r="R51" s="17"/>
      <c r="S51" s="201"/>
      <c r="T51" s="202"/>
      <c r="U51" s="19"/>
      <c r="V51" s="11"/>
      <c r="W51" s="11"/>
      <c r="X51" s="11"/>
      <c r="Y51" s="13"/>
      <c r="Z51" s="147">
        <v>10</v>
      </c>
      <c r="AA51" s="14"/>
      <c r="AB51" s="226"/>
      <c r="AC51" s="226"/>
      <c r="AD51" s="26"/>
      <c r="AE51" s="241"/>
      <c r="AF51" s="241"/>
      <c r="AG51" s="26"/>
      <c r="AH51" s="293"/>
      <c r="AI51" s="294"/>
      <c r="AJ51" s="14"/>
      <c r="AK51" s="237"/>
      <c r="AL51" s="238"/>
      <c r="AM51" s="14"/>
      <c r="AN51" s="246"/>
      <c r="AO51" s="247"/>
      <c r="AP51" s="14"/>
      <c r="AQ51" s="226"/>
      <c r="AR51" s="226"/>
      <c r="AS51" s="14"/>
      <c r="AT51" s="176"/>
      <c r="AU51" s="177"/>
      <c r="AV51" s="27"/>
      <c r="AW51" s="28"/>
      <c r="AX51" s="83"/>
      <c r="AY51" s="147">
        <v>10</v>
      </c>
      <c r="AZ51" s="84"/>
      <c r="BA51" s="215"/>
      <c r="BB51" s="216"/>
      <c r="BC51" s="84"/>
      <c r="BD51" s="283"/>
      <c r="BE51" s="284"/>
      <c r="BF51" s="84"/>
      <c r="BG51" s="207"/>
      <c r="BH51" s="208"/>
      <c r="BI51" s="84"/>
      <c r="BJ51" s="207"/>
      <c r="BK51" s="208"/>
      <c r="BL51" s="84"/>
      <c r="BM51" s="168"/>
      <c r="BN51" s="169"/>
      <c r="BO51" s="84"/>
      <c r="BP51" s="207"/>
      <c r="BQ51" s="208"/>
      <c r="BR51" s="84"/>
      <c r="BS51" s="437"/>
      <c r="BT51" s="438"/>
      <c r="BU51" s="84"/>
      <c r="BV51" s="252"/>
      <c r="BW51" s="253"/>
      <c r="BX51" s="94"/>
      <c r="BY51" s="168"/>
      <c r="BZ51" s="169"/>
      <c r="CA51" s="95"/>
    </row>
    <row r="52" spans="1:79" customFormat="1" ht="11.45" customHeight="1" x14ac:dyDescent="0.25">
      <c r="A52" s="13"/>
      <c r="B52" s="30"/>
      <c r="C52" s="16"/>
      <c r="D52" s="226"/>
      <c r="E52" s="226"/>
      <c r="F52" s="16"/>
      <c r="G52" s="385"/>
      <c r="H52" s="385"/>
      <c r="I52" s="14"/>
      <c r="J52" s="241"/>
      <c r="K52" s="241"/>
      <c r="L52" s="16"/>
      <c r="M52" s="384"/>
      <c r="N52" s="384"/>
      <c r="O52" s="16"/>
      <c r="P52" s="182"/>
      <c r="Q52" s="183"/>
      <c r="R52" s="17"/>
      <c r="S52" s="201"/>
      <c r="T52" s="202"/>
      <c r="U52" s="19"/>
      <c r="V52" s="11"/>
      <c r="W52" s="11"/>
      <c r="X52" s="11"/>
      <c r="Y52" s="13"/>
      <c r="Z52" s="147"/>
      <c r="AA52" s="14"/>
      <c r="AB52" s="226" t="str">
        <f>IF(AB51="","",VLOOKUP(AB51,mco_105,2,FALSE))</f>
        <v/>
      </c>
      <c r="AC52" s="226"/>
      <c r="AD52" s="26"/>
      <c r="AE52" s="241"/>
      <c r="AF52" s="241"/>
      <c r="AG52" s="26"/>
      <c r="AH52" s="321"/>
      <c r="AI52" s="322"/>
      <c r="AJ52" s="14"/>
      <c r="AK52" s="239"/>
      <c r="AL52" s="240"/>
      <c r="AM52" s="14"/>
      <c r="AN52" s="246"/>
      <c r="AO52" s="247"/>
      <c r="AP52" s="14"/>
      <c r="AQ52" s="241"/>
      <c r="AR52" s="241"/>
      <c r="AS52" s="14"/>
      <c r="AT52" s="178"/>
      <c r="AU52" s="500"/>
      <c r="AV52" s="27"/>
      <c r="AW52" s="28"/>
      <c r="AX52" s="83"/>
      <c r="AY52" s="147"/>
      <c r="AZ52" s="84"/>
      <c r="BA52" s="217"/>
      <c r="BB52" s="218"/>
      <c r="BC52" s="84"/>
      <c r="BD52" s="285"/>
      <c r="BE52" s="286"/>
      <c r="BF52" s="84"/>
      <c r="BG52" s="201"/>
      <c r="BH52" s="202"/>
      <c r="BI52" s="84"/>
      <c r="BJ52" s="201"/>
      <c r="BK52" s="202"/>
      <c r="BL52" s="84"/>
      <c r="BM52" s="168"/>
      <c r="BN52" s="169"/>
      <c r="BO52" s="84"/>
      <c r="BP52" s="168"/>
      <c r="BQ52" s="169"/>
      <c r="BR52" s="84"/>
      <c r="BS52" s="439"/>
      <c r="BT52" s="440"/>
      <c r="BU52" s="84"/>
      <c r="BV52" s="254"/>
      <c r="BW52" s="255"/>
      <c r="BX52" s="94"/>
      <c r="BY52" s="168"/>
      <c r="BZ52" s="169"/>
      <c r="CA52" s="95"/>
    </row>
    <row r="53" spans="1:79" customFormat="1" ht="11.45" customHeight="1" x14ac:dyDescent="0.25">
      <c r="A53" s="13"/>
      <c r="B53" s="30"/>
      <c r="C53" s="16"/>
      <c r="D53" s="226"/>
      <c r="E53" s="226"/>
      <c r="F53" s="16"/>
      <c r="G53" s="379"/>
      <c r="H53" s="379"/>
      <c r="I53" s="14"/>
      <c r="J53" s="241"/>
      <c r="K53" s="241"/>
      <c r="L53" s="16"/>
      <c r="M53" s="392"/>
      <c r="N53" s="392"/>
      <c r="O53" s="16"/>
      <c r="P53" s="164"/>
      <c r="Q53" s="165"/>
      <c r="R53" s="17"/>
      <c r="S53" s="201"/>
      <c r="T53" s="202"/>
      <c r="U53" s="19"/>
      <c r="V53" s="11"/>
      <c r="W53" s="11"/>
      <c r="X53" s="11"/>
      <c r="Y53" s="13"/>
      <c r="Z53" s="147"/>
      <c r="AA53" s="14"/>
      <c r="AB53" s="226"/>
      <c r="AC53" s="226"/>
      <c r="AD53" s="22"/>
      <c r="AE53" s="241" t="str">
        <f>IF(AE52="","",VLOOKUP(AE52,mco_101,2,FALSE))</f>
        <v/>
      </c>
      <c r="AF53" s="241"/>
      <c r="AG53" s="22"/>
      <c r="AH53" s="313" t="str">
        <f>IF(AH52="","",VLOOKUP(AH52,mco_103,2,FALSE))</f>
        <v/>
      </c>
      <c r="AI53" s="314"/>
      <c r="AJ53" s="14"/>
      <c r="AK53" s="228" t="str">
        <f>IF(AK52="","",VLOOKUP(AK52,mco_105,2,FALSE))</f>
        <v/>
      </c>
      <c r="AL53" s="229"/>
      <c r="AM53" s="14"/>
      <c r="AN53" s="244" t="str">
        <f>IF(AN52="","",VLOOKUP(AN52,mco_89,2,FALSE))</f>
        <v/>
      </c>
      <c r="AO53" s="245"/>
      <c r="AP53" s="14"/>
      <c r="AQ53" s="241" t="str">
        <f>IF(AQ52="","",VLOOKUP(AQ52,mco_91,2,FALSE))</f>
        <v/>
      </c>
      <c r="AR53" s="241"/>
      <c r="AS53" s="14"/>
      <c r="AT53" s="170" t="str">
        <f>IF(AT52="","",VLOOKUP(AT52,mco_95,2,FALSE))</f>
        <v/>
      </c>
      <c r="AU53" s="499"/>
      <c r="AV53" s="23"/>
      <c r="AW53" s="24"/>
      <c r="AX53" s="83"/>
      <c r="AY53" s="147"/>
      <c r="AZ53" s="84"/>
      <c r="BA53" s="213" t="str">
        <f>IF(BA52="","",VLOOKUP(BA52,gpme_2,2,FALSE))</f>
        <v/>
      </c>
      <c r="BB53" s="214"/>
      <c r="BC53" s="84"/>
      <c r="BD53" s="275" t="str">
        <f>IF(BD52="","",VLOOKUP(BD52,gpme_1,2,FALSE))</f>
        <v/>
      </c>
      <c r="BE53" s="276"/>
      <c r="BF53" s="84"/>
      <c r="BG53" s="201" t="str">
        <f>IF(BG52="","",VLOOKUP(BG52,ndrc_5,2,FALSE))</f>
        <v/>
      </c>
      <c r="BH53" s="202"/>
      <c r="BI53" s="84"/>
      <c r="BJ53" s="201" t="str">
        <f>IF(BJ52="","",VLOOKUP(BJ52,ndrc_5,2,FALSE))</f>
        <v/>
      </c>
      <c r="BK53" s="202"/>
      <c r="BL53" s="84"/>
      <c r="BM53" s="168" t="str">
        <f>IF(BM52="","",VLOOKUP(BM52,rdc_14,2,FALSE))</f>
        <v/>
      </c>
      <c r="BN53" s="169"/>
      <c r="BO53" s="84"/>
      <c r="BP53" s="168" t="str">
        <f>IF(BP52="","",VLOOKUP(BP52,rdc_16,2,FALSE))</f>
        <v/>
      </c>
      <c r="BQ53" s="169"/>
      <c r="BR53" s="84"/>
      <c r="BS53" s="435" t="str">
        <f>IF(BS52="","",VLOOKUP(BS52,rh_1,2,FALSE))</f>
        <v/>
      </c>
      <c r="BT53" s="436"/>
      <c r="BU53" s="84"/>
      <c r="BV53" s="250" t="str">
        <f>IF(BV52="","",VLOOKUP(BV52,m_3,2,FALSE))</f>
        <v/>
      </c>
      <c r="BW53" s="251"/>
      <c r="BX53" s="91"/>
      <c r="BY53" s="168" t="str">
        <f>IF(BY52="","",VLOOKUP(BY52,m_3,2,FALSE))</f>
        <v/>
      </c>
      <c r="BZ53" s="169"/>
      <c r="CA53" s="92"/>
    </row>
    <row r="54" spans="1:79" customFormat="1" ht="11.45" customHeight="1" thickBot="1" x14ac:dyDescent="0.3">
      <c r="A54" s="13"/>
      <c r="B54" s="32"/>
      <c r="C54" s="16"/>
      <c r="D54" s="281"/>
      <c r="E54" s="281"/>
      <c r="F54" s="16"/>
      <c r="G54" s="377"/>
      <c r="H54" s="377"/>
      <c r="I54" s="14"/>
      <c r="J54" s="290"/>
      <c r="K54" s="290"/>
      <c r="L54" s="16"/>
      <c r="M54" s="376"/>
      <c r="N54" s="376"/>
      <c r="O54" s="16"/>
      <c r="P54" s="184"/>
      <c r="Q54" s="185"/>
      <c r="R54" s="17"/>
      <c r="S54" s="203"/>
      <c r="T54" s="204"/>
      <c r="U54" s="19"/>
      <c r="V54" s="11"/>
      <c r="W54" s="11"/>
      <c r="X54" s="11"/>
      <c r="Y54" s="13"/>
      <c r="Z54" s="98"/>
      <c r="AA54" s="14"/>
      <c r="AB54" s="281"/>
      <c r="AC54" s="281"/>
      <c r="AD54" s="26"/>
      <c r="AE54" s="290"/>
      <c r="AF54" s="290"/>
      <c r="AG54" s="26"/>
      <c r="AH54" s="413"/>
      <c r="AI54" s="414"/>
      <c r="AJ54" s="14"/>
      <c r="AK54" s="223"/>
      <c r="AL54" s="224"/>
      <c r="AM54" s="14"/>
      <c r="AN54" s="248"/>
      <c r="AO54" s="249"/>
      <c r="AP54" s="14"/>
      <c r="AQ54" s="290"/>
      <c r="AR54" s="290"/>
      <c r="AS54" s="14"/>
      <c r="AT54" s="501"/>
      <c r="AU54" s="502"/>
      <c r="AV54" s="27"/>
      <c r="AW54" s="28"/>
      <c r="AX54" s="83"/>
      <c r="AY54" s="98"/>
      <c r="AZ54" s="84"/>
      <c r="BA54" s="219"/>
      <c r="BB54" s="220"/>
      <c r="BC54" s="84"/>
      <c r="BD54" s="277"/>
      <c r="BE54" s="278"/>
      <c r="BF54" s="84"/>
      <c r="BG54" s="203"/>
      <c r="BH54" s="204"/>
      <c r="BI54" s="84"/>
      <c r="BJ54" s="203"/>
      <c r="BK54" s="204"/>
      <c r="BL54" s="84"/>
      <c r="BM54" s="263"/>
      <c r="BN54" s="264"/>
      <c r="BO54" s="84"/>
      <c r="BP54" s="258"/>
      <c r="BQ54" s="196"/>
      <c r="BR54" s="84"/>
      <c r="BS54" s="444"/>
      <c r="BT54" s="445"/>
      <c r="BU54" s="84"/>
      <c r="BV54" s="256"/>
      <c r="BW54" s="257"/>
      <c r="BX54" s="94"/>
      <c r="BY54" s="263"/>
      <c r="BZ54" s="264"/>
      <c r="CA54" s="95"/>
    </row>
    <row r="55" spans="1:79" customFormat="1" ht="11.45" customHeight="1" x14ac:dyDescent="0.25">
      <c r="A55" s="13"/>
      <c r="B55" s="25"/>
      <c r="C55" s="16"/>
      <c r="D55" s="409"/>
      <c r="E55" s="409"/>
      <c r="F55" s="16"/>
      <c r="G55" s="394"/>
      <c r="H55" s="394"/>
      <c r="I55" s="14"/>
      <c r="J55" s="409"/>
      <c r="K55" s="409"/>
      <c r="L55" s="16"/>
      <c r="M55" s="393"/>
      <c r="N55" s="393"/>
      <c r="O55" s="16"/>
      <c r="P55" s="273"/>
      <c r="Q55" s="274"/>
      <c r="R55" s="17"/>
      <c r="S55" s="194"/>
      <c r="T55" s="195"/>
      <c r="U55" s="19"/>
      <c r="V55" s="11"/>
      <c r="W55" s="11"/>
      <c r="X55" s="11"/>
      <c r="Y55" s="13"/>
      <c r="Z55" s="93"/>
      <c r="AA55" s="14"/>
      <c r="AB55" s="225" t="str">
        <f>IF(AB54="","",VLOOKUP(AB54,mco_105,2,FALSE))</f>
        <v/>
      </c>
      <c r="AC55" s="225"/>
      <c r="AD55" s="26"/>
      <c r="AE55" s="194"/>
      <c r="AF55" s="195"/>
      <c r="AG55" s="26"/>
      <c r="AH55" s="225"/>
      <c r="AI55" s="225"/>
      <c r="AJ55" s="14"/>
      <c r="AK55" s="235"/>
      <c r="AL55" s="236"/>
      <c r="AM55" s="14"/>
      <c r="AN55" s="194"/>
      <c r="AO55" s="195"/>
      <c r="AP55" s="14"/>
      <c r="AQ55" s="225"/>
      <c r="AR55" s="225"/>
      <c r="AS55" s="14"/>
      <c r="AT55" s="174"/>
      <c r="AU55" s="498"/>
      <c r="AV55" s="27"/>
      <c r="AW55" s="28"/>
      <c r="AX55" s="83"/>
      <c r="AY55" s="93"/>
      <c r="AZ55" s="84"/>
      <c r="BA55" s="221"/>
      <c r="BB55" s="222"/>
      <c r="BC55" s="84"/>
      <c r="BD55" s="230"/>
      <c r="BE55" s="231"/>
      <c r="BF55" s="84"/>
      <c r="BG55" s="194"/>
      <c r="BH55" s="195"/>
      <c r="BI55" s="84"/>
      <c r="BJ55" s="194"/>
      <c r="BK55" s="195"/>
      <c r="BL55" s="84"/>
      <c r="BM55" s="399"/>
      <c r="BN55" s="400"/>
      <c r="BO55" s="84"/>
      <c r="BP55" s="186"/>
      <c r="BQ55" s="187"/>
      <c r="BR55" s="84"/>
      <c r="BS55" s="442"/>
      <c r="BT55" s="443"/>
      <c r="BU55" s="84"/>
      <c r="BV55" s="261"/>
      <c r="BW55" s="262"/>
      <c r="BX55" s="94"/>
      <c r="BY55" s="399"/>
      <c r="BZ55" s="400"/>
      <c r="CA55" s="95"/>
    </row>
    <row r="56" spans="1:79" customFormat="1" ht="11.45" customHeight="1" x14ac:dyDescent="0.25">
      <c r="A56" s="13"/>
      <c r="B56" s="29" t="s">
        <v>7</v>
      </c>
      <c r="C56" s="16"/>
      <c r="D56" s="241"/>
      <c r="E56" s="241"/>
      <c r="F56" s="16"/>
      <c r="G56" s="379"/>
      <c r="H56" s="379"/>
      <c r="I56" s="14"/>
      <c r="J56" s="241"/>
      <c r="K56" s="241"/>
      <c r="L56" s="16"/>
      <c r="M56" s="392"/>
      <c r="N56" s="392"/>
      <c r="O56" s="16"/>
      <c r="P56" s="201"/>
      <c r="Q56" s="202"/>
      <c r="R56" s="17"/>
      <c r="S56" s="201"/>
      <c r="T56" s="202"/>
      <c r="U56" s="19"/>
      <c r="V56" s="11"/>
      <c r="W56" s="11"/>
      <c r="X56" s="11"/>
      <c r="Y56" s="13"/>
      <c r="Z56" s="96" t="s">
        <v>7</v>
      </c>
      <c r="AA56" s="14"/>
      <c r="AB56" s="226"/>
      <c r="AC56" s="226"/>
      <c r="AD56" s="22"/>
      <c r="AE56" s="205" t="str">
        <f>IF(AE55="","",VLOOKUP(AE55,mco_101,2,FALSE))</f>
        <v/>
      </c>
      <c r="AF56" s="206"/>
      <c r="AG56" s="22"/>
      <c r="AH56" s="226" t="str">
        <f>IF(AH55="","",VLOOKUP(AH55,mco_101,2,FALSE))</f>
        <v/>
      </c>
      <c r="AI56" s="226"/>
      <c r="AJ56" s="14"/>
      <c r="AK56" s="228" t="str">
        <f>IF(AK55="","",VLOOKUP(AK55,mco_105,2,FALSE))</f>
        <v/>
      </c>
      <c r="AL56" s="229"/>
      <c r="AM56" s="14"/>
      <c r="AN56" s="205" t="str">
        <f>IF(AN55="","",VLOOKUP(AN55,mco_89,2,FALSE))</f>
        <v/>
      </c>
      <c r="AO56" s="206"/>
      <c r="AP56" s="14"/>
      <c r="AQ56" s="226" t="str">
        <f>IF(AQ55="","",VLOOKUP(AQ55,mco_91,2,FALSE))</f>
        <v/>
      </c>
      <c r="AR56" s="226"/>
      <c r="AS56" s="14"/>
      <c r="AT56" s="170" t="str">
        <f>IF(AT55="","",VLOOKUP(AT55,mco_95,2,FALSE))</f>
        <v/>
      </c>
      <c r="AU56" s="499"/>
      <c r="AV56" s="23"/>
      <c r="AW56" s="24"/>
      <c r="AX56" s="83"/>
      <c r="AY56" s="96" t="s">
        <v>7</v>
      </c>
      <c r="AZ56" s="84"/>
      <c r="BA56" s="213" t="str">
        <f>IF(BA55="","",VLOOKUP(BA55,gpme_2,2,FALSE))</f>
        <v/>
      </c>
      <c r="BB56" s="214"/>
      <c r="BC56" s="84"/>
      <c r="BD56" s="275" t="str">
        <f>IF(BD55="","",VLOOKUP(BD55,gpme_1,2,FALSE))</f>
        <v/>
      </c>
      <c r="BE56" s="276"/>
      <c r="BF56" s="84"/>
      <c r="BG56" s="205" t="str">
        <f>IF(BG55="","",VLOOKUP(BG55,ndrc_5,2,FALSE))</f>
        <v/>
      </c>
      <c r="BH56" s="206"/>
      <c r="BI56" s="84"/>
      <c r="BJ56" s="205" t="str">
        <f>IF(BJ55="","",VLOOKUP(BJ55,ndrc_5,2,FALSE))</f>
        <v/>
      </c>
      <c r="BK56" s="206"/>
      <c r="BL56" s="84"/>
      <c r="BM56" s="374" t="str">
        <f>IF(BM55="","",VLOOKUP(BM55,rdc_14,2,FALSE))</f>
        <v/>
      </c>
      <c r="BN56" s="375"/>
      <c r="BO56" s="84"/>
      <c r="BP56" s="164" t="str">
        <f>IF(BP55="","",VLOOKUP(BP55,rdc_16,2,FALSE))</f>
        <v/>
      </c>
      <c r="BQ56" s="165"/>
      <c r="BR56" s="84"/>
      <c r="BS56" s="435" t="str">
        <f>IF(BS55="","",VLOOKUP(BS55,rh_1,2,FALSE))</f>
        <v/>
      </c>
      <c r="BT56" s="436"/>
      <c r="BU56" s="84"/>
      <c r="BV56" s="250" t="str">
        <f>IF(BV55="","",VLOOKUP(BV55,m_3,2,FALSE))</f>
        <v/>
      </c>
      <c r="BW56" s="251"/>
      <c r="BX56" s="91"/>
      <c r="BY56" s="205" t="str">
        <f>IF(BY55="","",VLOOKUP(BY55,m_3,2,FALSE))</f>
        <v/>
      </c>
      <c r="BZ56" s="206"/>
      <c r="CA56" s="92"/>
    </row>
    <row r="57" spans="1:79" customFormat="1" ht="11.45" customHeight="1" x14ac:dyDescent="0.25">
      <c r="A57" s="13"/>
      <c r="B57" s="30">
        <v>11</v>
      </c>
      <c r="C57" s="16"/>
      <c r="D57" s="241"/>
      <c r="E57" s="241"/>
      <c r="F57" s="16"/>
      <c r="G57" s="387"/>
      <c r="H57" s="387"/>
      <c r="I57" s="14"/>
      <c r="J57" s="241"/>
      <c r="K57" s="241"/>
      <c r="L57" s="16"/>
      <c r="M57" s="386"/>
      <c r="N57" s="386"/>
      <c r="O57" s="16"/>
      <c r="P57" s="201"/>
      <c r="Q57" s="202"/>
      <c r="R57" s="17"/>
      <c r="S57" s="201"/>
      <c r="T57" s="202"/>
      <c r="U57" s="19"/>
      <c r="V57" s="11"/>
      <c r="W57" s="11"/>
      <c r="X57" s="11"/>
      <c r="Y57" s="13"/>
      <c r="Z57" s="147">
        <v>11</v>
      </c>
      <c r="AA57" s="14"/>
      <c r="AB57" s="226"/>
      <c r="AC57" s="226"/>
      <c r="AD57" s="26"/>
      <c r="AE57" s="207"/>
      <c r="AF57" s="208"/>
      <c r="AG57" s="26"/>
      <c r="AH57" s="226"/>
      <c r="AI57" s="226"/>
      <c r="AJ57" s="14"/>
      <c r="AK57" s="237"/>
      <c r="AL57" s="238"/>
      <c r="AM57" s="14"/>
      <c r="AN57" s="207"/>
      <c r="AO57" s="208"/>
      <c r="AP57" s="14"/>
      <c r="AQ57" s="226"/>
      <c r="AR57" s="226"/>
      <c r="AS57" s="14"/>
      <c r="AT57" s="176"/>
      <c r="AU57" s="177"/>
      <c r="AV57" s="27"/>
      <c r="AW57" s="28"/>
      <c r="AX57" s="83"/>
      <c r="AY57" s="147">
        <v>11</v>
      </c>
      <c r="AZ57" s="84"/>
      <c r="BA57" s="215"/>
      <c r="BB57" s="216"/>
      <c r="BC57" s="84"/>
      <c r="BD57" s="283"/>
      <c r="BE57" s="284"/>
      <c r="BF57" s="84"/>
      <c r="BG57" s="207"/>
      <c r="BH57" s="208"/>
      <c r="BI57" s="84"/>
      <c r="BJ57" s="207"/>
      <c r="BK57" s="208"/>
      <c r="BL57" s="84"/>
      <c r="BM57" s="207"/>
      <c r="BN57" s="208"/>
      <c r="BO57" s="84"/>
      <c r="BP57" s="164"/>
      <c r="BQ57" s="165"/>
      <c r="BR57" s="84"/>
      <c r="BS57" s="437"/>
      <c r="BT57" s="438"/>
      <c r="BU57" s="84"/>
      <c r="BV57" s="271"/>
      <c r="BW57" s="272"/>
      <c r="BX57" s="94"/>
      <c r="BY57" s="207"/>
      <c r="BZ57" s="208"/>
      <c r="CA57" s="95"/>
    </row>
    <row r="58" spans="1:79" customFormat="1" ht="11.45" customHeight="1" x14ac:dyDescent="0.25">
      <c r="A58" s="13"/>
      <c r="B58" s="30"/>
      <c r="C58" s="16"/>
      <c r="D58" s="241"/>
      <c r="E58" s="241"/>
      <c r="F58" s="16"/>
      <c r="G58" s="385"/>
      <c r="H58" s="385"/>
      <c r="I58" s="14"/>
      <c r="J58" s="241"/>
      <c r="K58" s="241"/>
      <c r="L58" s="16"/>
      <c r="M58" s="384"/>
      <c r="N58" s="384"/>
      <c r="O58" s="16"/>
      <c r="P58" s="201"/>
      <c r="Q58" s="202"/>
      <c r="R58" s="17"/>
      <c r="S58" s="201"/>
      <c r="T58" s="202"/>
      <c r="U58" s="19"/>
      <c r="V58" s="11"/>
      <c r="W58" s="11"/>
      <c r="X58" s="11"/>
      <c r="Y58" s="13"/>
      <c r="Z58" s="147"/>
      <c r="AA58" s="14"/>
      <c r="AB58" s="226" t="str">
        <f>IF(AB57="","",VLOOKUP(AB57,mco_105,2,FALSE))</f>
        <v/>
      </c>
      <c r="AC58" s="226"/>
      <c r="AD58" s="26"/>
      <c r="AE58" s="207"/>
      <c r="AF58" s="208"/>
      <c r="AG58" s="26"/>
      <c r="AH58" s="226"/>
      <c r="AI58" s="226"/>
      <c r="AJ58" s="14"/>
      <c r="AK58" s="239"/>
      <c r="AL58" s="240"/>
      <c r="AM58" s="14"/>
      <c r="AN58" s="207"/>
      <c r="AO58" s="208"/>
      <c r="AP58" s="14"/>
      <c r="AQ58" s="226"/>
      <c r="AR58" s="226"/>
      <c r="AS58" s="14"/>
      <c r="AT58" s="178"/>
      <c r="AU58" s="500"/>
      <c r="AV58" s="27"/>
      <c r="AW58" s="28"/>
      <c r="AX58" s="83"/>
      <c r="AY58" s="147"/>
      <c r="AZ58" s="84"/>
      <c r="BA58" s="217"/>
      <c r="BB58" s="218"/>
      <c r="BC58" s="84"/>
      <c r="BD58" s="285"/>
      <c r="BE58" s="286"/>
      <c r="BF58" s="84"/>
      <c r="BG58" s="207"/>
      <c r="BH58" s="208"/>
      <c r="BI58" s="84"/>
      <c r="BJ58" s="207"/>
      <c r="BK58" s="208"/>
      <c r="BL58" s="84"/>
      <c r="BM58" s="267"/>
      <c r="BN58" s="268"/>
      <c r="BO58" s="84"/>
      <c r="BP58" s="164"/>
      <c r="BQ58" s="165"/>
      <c r="BR58" s="84"/>
      <c r="BS58" s="164"/>
      <c r="BT58" s="165"/>
      <c r="BU58" s="84"/>
      <c r="BV58" s="267"/>
      <c r="BW58" s="268"/>
      <c r="BX58" s="94"/>
      <c r="BY58" s="267"/>
      <c r="BZ58" s="268"/>
      <c r="CA58" s="95"/>
    </row>
    <row r="59" spans="1:79" customFormat="1" ht="11.45" customHeight="1" x14ac:dyDescent="0.25">
      <c r="A59" s="13"/>
      <c r="B59" s="30"/>
      <c r="C59" s="16"/>
      <c r="D59" s="241"/>
      <c r="E59" s="241"/>
      <c r="F59" s="16"/>
      <c r="G59" s="379"/>
      <c r="H59" s="379"/>
      <c r="I59" s="14"/>
      <c r="J59" s="241"/>
      <c r="K59" s="241"/>
      <c r="L59" s="16"/>
      <c r="M59" s="378"/>
      <c r="N59" s="378"/>
      <c r="O59" s="16"/>
      <c r="P59" s="201"/>
      <c r="Q59" s="202"/>
      <c r="R59" s="17"/>
      <c r="S59" s="201"/>
      <c r="T59" s="202"/>
      <c r="U59" s="19"/>
      <c r="V59" s="11"/>
      <c r="W59" s="11"/>
      <c r="X59" s="11"/>
      <c r="Y59" s="13"/>
      <c r="Z59" s="147"/>
      <c r="AA59" s="14"/>
      <c r="AB59" s="226"/>
      <c r="AC59" s="226"/>
      <c r="AD59" s="22"/>
      <c r="AE59" s="205" t="str">
        <f>IF(AE58="","",VLOOKUP(AE58,mco_101,2,FALSE))</f>
        <v/>
      </c>
      <c r="AF59" s="206"/>
      <c r="AG59" s="22"/>
      <c r="AH59" s="226" t="str">
        <f>IF(AH58="","",VLOOKUP(AH58,mco_101,2,FALSE))</f>
        <v/>
      </c>
      <c r="AI59" s="226"/>
      <c r="AJ59" s="14"/>
      <c r="AK59" s="228" t="str">
        <f>IF(AK58="","",VLOOKUP(AK58,mco_105,2,FALSE))</f>
        <v/>
      </c>
      <c r="AL59" s="229"/>
      <c r="AM59" s="14"/>
      <c r="AN59" s="205" t="str">
        <f>IF(AN58="","",VLOOKUP(AN58,mco_89,2,FALSE))</f>
        <v/>
      </c>
      <c r="AO59" s="206"/>
      <c r="AP59" s="14"/>
      <c r="AQ59" s="226" t="str">
        <f>IF(AQ58="","",VLOOKUP(AQ58,mco_91,2,FALSE))</f>
        <v/>
      </c>
      <c r="AR59" s="226"/>
      <c r="AS59" s="14"/>
      <c r="AT59" s="170" t="str">
        <f>IF(AT58="","",VLOOKUP(AT58,mco_95,2,FALSE))</f>
        <v/>
      </c>
      <c r="AU59" s="499"/>
      <c r="AV59" s="23"/>
      <c r="AW59" s="24"/>
      <c r="AX59" s="83"/>
      <c r="AY59" s="147"/>
      <c r="AZ59" s="84"/>
      <c r="BA59" s="213" t="str">
        <f>IF(BA58="","",VLOOKUP(BA58,gpme_2,2,FALSE))</f>
        <v/>
      </c>
      <c r="BB59" s="214"/>
      <c r="BC59" s="84"/>
      <c r="BD59" s="275" t="str">
        <f>IF(BD58="","",VLOOKUP(BD58,gpme_1,2,FALSE))</f>
        <v/>
      </c>
      <c r="BE59" s="276"/>
      <c r="BF59" s="84"/>
      <c r="BG59" s="205" t="str">
        <f>IF(BG58="","",VLOOKUP(BG58,ndrc_5,2,FALSE))</f>
        <v/>
      </c>
      <c r="BH59" s="206"/>
      <c r="BI59" s="84"/>
      <c r="BJ59" s="205" t="str">
        <f>IF(BJ58="","",VLOOKUP(BJ58,ndrc_5,2,FALSE))</f>
        <v/>
      </c>
      <c r="BK59" s="206"/>
      <c r="BL59" s="84"/>
      <c r="BM59" s="374" t="str">
        <f>IF(BM58="","",VLOOKUP(BM58,rdc_14,2,FALSE))</f>
        <v/>
      </c>
      <c r="BN59" s="375"/>
      <c r="BO59" s="84"/>
      <c r="BP59" s="164" t="str">
        <f>IF(BP58="","",VLOOKUP(BP58,rdc_16,2,FALSE))</f>
        <v/>
      </c>
      <c r="BQ59" s="165"/>
      <c r="BR59" s="84"/>
      <c r="BS59" s="164" t="str">
        <f>IF(BS58="","",VLOOKUP(BS58,rdc_16,2,FALSE))</f>
        <v/>
      </c>
      <c r="BT59" s="165"/>
      <c r="BU59" s="84"/>
      <c r="BV59" s="205" t="str">
        <f>IF(BV58="","",VLOOKUP(BV58,m_3,2,FALSE))</f>
        <v/>
      </c>
      <c r="BW59" s="206"/>
      <c r="BX59" s="91"/>
      <c r="BY59" s="205" t="str">
        <f>IF(BY58="","",VLOOKUP(BY58,m_2,2,FALSE))</f>
        <v/>
      </c>
      <c r="BZ59" s="206"/>
      <c r="CA59" s="92"/>
    </row>
    <row r="60" spans="1:79" customFormat="1" ht="11.45" customHeight="1" thickBot="1" x14ac:dyDescent="0.3">
      <c r="A60" s="31"/>
      <c r="B60" s="32"/>
      <c r="C60" s="16"/>
      <c r="D60" s="290"/>
      <c r="E60" s="290"/>
      <c r="F60" s="16"/>
      <c r="G60" s="377"/>
      <c r="H60" s="377"/>
      <c r="I60" s="14"/>
      <c r="J60" s="290"/>
      <c r="K60" s="290"/>
      <c r="L60" s="16"/>
      <c r="M60" s="376"/>
      <c r="N60" s="376"/>
      <c r="O60" s="16"/>
      <c r="P60" s="203"/>
      <c r="Q60" s="204"/>
      <c r="R60" s="17"/>
      <c r="S60" s="203"/>
      <c r="T60" s="204"/>
      <c r="U60" s="19"/>
      <c r="V60" s="11"/>
      <c r="W60" s="11"/>
      <c r="X60" s="11"/>
      <c r="Y60" s="31"/>
      <c r="Z60" s="98"/>
      <c r="AA60" s="14"/>
      <c r="AB60" s="281"/>
      <c r="AC60" s="281"/>
      <c r="AD60" s="26"/>
      <c r="AE60" s="209"/>
      <c r="AF60" s="210"/>
      <c r="AG60" s="26"/>
      <c r="AH60" s="281"/>
      <c r="AI60" s="281"/>
      <c r="AJ60" s="14"/>
      <c r="AK60" s="223"/>
      <c r="AL60" s="224"/>
      <c r="AM60" s="14"/>
      <c r="AN60" s="209"/>
      <c r="AO60" s="210"/>
      <c r="AP60" s="14"/>
      <c r="AQ60" s="281"/>
      <c r="AR60" s="281"/>
      <c r="AS60" s="14"/>
      <c r="AT60" s="501"/>
      <c r="AU60" s="502"/>
      <c r="AV60" s="27"/>
      <c r="AW60" s="28"/>
      <c r="AX60" s="97"/>
      <c r="AY60" s="98"/>
      <c r="AZ60" s="84"/>
      <c r="BA60" s="219"/>
      <c r="BB60" s="220"/>
      <c r="BC60" s="84"/>
      <c r="BD60" s="277"/>
      <c r="BE60" s="278"/>
      <c r="BF60" s="84"/>
      <c r="BG60" s="209"/>
      <c r="BH60" s="210"/>
      <c r="BI60" s="84"/>
      <c r="BJ60" s="209"/>
      <c r="BK60" s="210"/>
      <c r="BL60" s="84"/>
      <c r="BM60" s="209"/>
      <c r="BN60" s="210"/>
      <c r="BO60" s="84"/>
      <c r="BP60" s="199"/>
      <c r="BQ60" s="200"/>
      <c r="BR60" s="84"/>
      <c r="BS60" s="199"/>
      <c r="BT60" s="200"/>
      <c r="BU60" s="84"/>
      <c r="BV60" s="209"/>
      <c r="BW60" s="210"/>
      <c r="BX60" s="94"/>
      <c r="BY60" s="209"/>
      <c r="BZ60" s="210"/>
      <c r="CA60" s="95"/>
    </row>
    <row r="61" spans="1:79" s="115" customFormat="1" ht="6.6" customHeight="1" thickBot="1" x14ac:dyDescent="0.3">
      <c r="A61" s="127"/>
      <c r="B61" s="122"/>
      <c r="C61" s="86"/>
      <c r="D61" s="124"/>
      <c r="E61" s="124"/>
      <c r="F61" s="86"/>
      <c r="G61" s="124"/>
      <c r="H61" s="107"/>
      <c r="I61" s="123"/>
      <c r="J61" s="107"/>
      <c r="K61" s="124"/>
      <c r="L61" s="86"/>
      <c r="M61" s="124"/>
      <c r="N61" s="124"/>
      <c r="O61" s="86"/>
      <c r="P61" s="124"/>
      <c r="Q61" s="124"/>
      <c r="R61" s="126"/>
      <c r="S61" s="107"/>
      <c r="T61" s="124"/>
      <c r="U61" s="117"/>
      <c r="V61" s="11"/>
      <c r="W61" s="11"/>
      <c r="X61" s="11"/>
      <c r="Y61" s="83"/>
      <c r="Z61" s="122"/>
      <c r="AA61" s="86"/>
      <c r="AB61" s="125"/>
      <c r="AC61" s="125"/>
      <c r="AD61" s="94"/>
      <c r="AE61" s="124"/>
      <c r="AF61" s="124"/>
      <c r="AG61" s="132"/>
      <c r="AH61" s="133"/>
      <c r="AI61" s="133"/>
      <c r="AJ61" s="123"/>
      <c r="AK61" s="133"/>
      <c r="AL61" s="134"/>
      <c r="AM61" s="84"/>
      <c r="AN61" s="124"/>
      <c r="AO61" s="107"/>
      <c r="AP61" s="86"/>
      <c r="AQ61" s="124"/>
      <c r="AR61" s="124"/>
      <c r="AS61" s="86"/>
      <c r="AT61" s="124"/>
      <c r="AU61" s="107"/>
      <c r="AV61" s="95"/>
      <c r="AW61" s="28"/>
      <c r="AX61" s="83"/>
      <c r="AY61" s="122"/>
      <c r="AZ61" s="123"/>
      <c r="BA61" s="107"/>
      <c r="BB61" s="107"/>
      <c r="BC61" s="123"/>
      <c r="BD61" s="107"/>
      <c r="BE61" s="107"/>
      <c r="BF61" s="123"/>
      <c r="BG61" s="135"/>
      <c r="BH61" s="134"/>
      <c r="BI61" s="123"/>
      <c r="BJ61" s="135"/>
      <c r="BK61" s="135"/>
      <c r="BL61" s="123"/>
      <c r="BM61" s="133"/>
      <c r="BN61" s="134"/>
      <c r="BO61" s="123"/>
      <c r="BP61" s="133"/>
      <c r="BQ61" s="134"/>
      <c r="BR61" s="123"/>
      <c r="BS61" s="133"/>
      <c r="BT61" s="134"/>
      <c r="BU61" s="123"/>
      <c r="BV61" s="107"/>
      <c r="BW61" s="107"/>
      <c r="BX61" s="132"/>
      <c r="BY61" s="133"/>
      <c r="BZ61" s="134"/>
      <c r="CA61" s="95"/>
    </row>
    <row r="62" spans="1:79" customFormat="1" ht="11.45" customHeight="1" x14ac:dyDescent="0.25">
      <c r="A62" s="13"/>
      <c r="B62" s="25"/>
      <c r="C62" s="16"/>
      <c r="D62" s="371"/>
      <c r="E62" s="371"/>
      <c r="F62" s="16"/>
      <c r="G62" s="225"/>
      <c r="H62" s="225"/>
      <c r="I62" s="14"/>
      <c r="J62" s="225"/>
      <c r="K62" s="225"/>
      <c r="L62" s="16"/>
      <c r="M62" s="371"/>
      <c r="N62" s="371"/>
      <c r="O62" s="16"/>
      <c r="P62" s="273"/>
      <c r="Q62" s="274"/>
      <c r="R62" s="17"/>
      <c r="S62" s="194"/>
      <c r="T62" s="195"/>
      <c r="U62" s="19"/>
      <c r="V62" s="11"/>
      <c r="W62" s="11"/>
      <c r="X62" s="11"/>
      <c r="Y62" s="13"/>
      <c r="Z62" s="93"/>
      <c r="AA62" s="14"/>
      <c r="AB62" s="355"/>
      <c r="AC62" s="356"/>
      <c r="AD62" s="26"/>
      <c r="AE62" s="225" t="str">
        <f>IF(AE61="","",VLOOKUP(AE61,mco_101,2,FALSE))</f>
        <v/>
      </c>
      <c r="AF62" s="225"/>
      <c r="AG62" s="26"/>
      <c r="AH62" s="419"/>
      <c r="AI62" s="420"/>
      <c r="AJ62" s="14"/>
      <c r="AK62" s="225" t="str">
        <f>IF(AK61="","",VLOOKUP(AK61,mco_105,2,FALSE))</f>
        <v/>
      </c>
      <c r="AL62" s="225"/>
      <c r="AM62" s="14"/>
      <c r="AN62" s="360"/>
      <c r="AO62" s="361"/>
      <c r="AP62" s="14"/>
      <c r="AQ62" s="194" t="str">
        <f>IF(AQ61="","",VLOOKUP(AQ61,mco_91,2,FALSE))</f>
        <v/>
      </c>
      <c r="AR62" s="195"/>
      <c r="AS62" s="14"/>
      <c r="AT62" s="194" t="str">
        <f>IF(AT61="","",VLOOKUP(AT61,mco_95,2,FALSE))</f>
        <v/>
      </c>
      <c r="AU62" s="195"/>
      <c r="AV62" s="27"/>
      <c r="AW62" s="28"/>
      <c r="AX62" s="83"/>
      <c r="AY62" s="93"/>
      <c r="AZ62" s="84"/>
      <c r="BA62" s="221"/>
      <c r="BB62" s="222"/>
      <c r="BC62" s="84"/>
      <c r="BD62" s="273" t="str">
        <f>IF(BD61="","",VLOOKUP(BD61,gpme_1,2,FALSE))</f>
        <v/>
      </c>
      <c r="BE62" s="274"/>
      <c r="BF62" s="84"/>
      <c r="BG62" s="174"/>
      <c r="BH62" s="175"/>
      <c r="BI62" s="84"/>
      <c r="BJ62" s="358"/>
      <c r="BK62" s="359"/>
      <c r="BL62" s="84"/>
      <c r="BM62" s="194" t="str">
        <f>IF(BM61="","",VLOOKUP(BM61,rdc_16,2,FALSE))</f>
        <v/>
      </c>
      <c r="BN62" s="195"/>
      <c r="BO62" s="84"/>
      <c r="BP62" s="194" t="str">
        <f>IF(BP61="","",VLOOKUP(BP61,rdc_16,2,FALSE))</f>
        <v/>
      </c>
      <c r="BQ62" s="195"/>
      <c r="BR62" s="84"/>
      <c r="BS62" s="194" t="str">
        <f>IF(BS61="","",VLOOKUP(BS61,rdc_16,2,FALSE))</f>
        <v/>
      </c>
      <c r="BT62" s="195"/>
      <c r="BU62" s="84"/>
      <c r="BV62" s="273" t="str">
        <f>IF(BV61="","",VLOOKUP(BV61,m_2,2,FALSE))</f>
        <v/>
      </c>
      <c r="BW62" s="274"/>
      <c r="BX62" s="94"/>
      <c r="BY62" s="422"/>
      <c r="BZ62" s="423"/>
      <c r="CA62" s="95"/>
    </row>
    <row r="63" spans="1:79" customFormat="1" ht="11.45" customHeight="1" x14ac:dyDescent="0.25">
      <c r="A63" s="13"/>
      <c r="B63" s="29" t="s">
        <v>4</v>
      </c>
      <c r="C63" s="16"/>
      <c r="D63" s="226"/>
      <c r="E63" s="226"/>
      <c r="F63" s="16"/>
      <c r="G63" s="226"/>
      <c r="H63" s="226"/>
      <c r="I63" s="14"/>
      <c r="J63" s="226"/>
      <c r="K63" s="226"/>
      <c r="L63" s="16"/>
      <c r="M63" s="226"/>
      <c r="N63" s="226"/>
      <c r="O63" s="16"/>
      <c r="P63" s="201"/>
      <c r="Q63" s="202"/>
      <c r="R63" s="17"/>
      <c r="S63" s="201"/>
      <c r="T63" s="202"/>
      <c r="U63" s="19"/>
      <c r="V63" s="11"/>
      <c r="W63" s="11"/>
      <c r="X63" s="11"/>
      <c r="Y63" s="13"/>
      <c r="Z63" s="96" t="s">
        <v>4</v>
      </c>
      <c r="AA63" s="14"/>
      <c r="AB63" s="341"/>
      <c r="AC63" s="342"/>
      <c r="AD63" s="22"/>
      <c r="AE63" s="226"/>
      <c r="AF63" s="226"/>
      <c r="AG63" s="22"/>
      <c r="AH63" s="313" t="str">
        <f>IF(AH62="","",VLOOKUP(AH62,mco_103,2,FALSE))</f>
        <v/>
      </c>
      <c r="AI63" s="314"/>
      <c r="AJ63" s="14"/>
      <c r="AK63" s="226"/>
      <c r="AL63" s="226"/>
      <c r="AM63" s="14"/>
      <c r="AN63" s="303" t="str">
        <f>IF(AN62="","",VLOOKUP(AN62,mco_91,2,FALSE))</f>
        <v/>
      </c>
      <c r="AO63" s="304"/>
      <c r="AP63" s="14"/>
      <c r="AQ63" s="205"/>
      <c r="AR63" s="206"/>
      <c r="AS63" s="14"/>
      <c r="AT63" s="205"/>
      <c r="AU63" s="206"/>
      <c r="AV63" s="23"/>
      <c r="AW63" s="24"/>
      <c r="AX63" s="83"/>
      <c r="AY63" s="96" t="s">
        <v>4</v>
      </c>
      <c r="AZ63" s="84"/>
      <c r="BA63" s="213" t="str">
        <f>IF(BA62="","",VLOOKUP(BA62,gpme_2,2,FALSE))</f>
        <v/>
      </c>
      <c r="BB63" s="214"/>
      <c r="BC63" s="84"/>
      <c r="BD63" s="201"/>
      <c r="BE63" s="202"/>
      <c r="BF63" s="84"/>
      <c r="BG63" s="170" t="str">
        <f>IF(BG62="","",VLOOKUP(BG62,ndrc_7,2,FALSE))</f>
        <v/>
      </c>
      <c r="BH63" s="171"/>
      <c r="BI63" s="84"/>
      <c r="BJ63" s="343" t="str">
        <f>IF(BJ62="","",VLOOKUP(BJ62,ndrc_5,2,FALSE))</f>
        <v/>
      </c>
      <c r="BK63" s="344"/>
      <c r="BL63" s="84"/>
      <c r="BM63" s="205"/>
      <c r="BN63" s="206"/>
      <c r="BO63" s="84"/>
      <c r="BP63" s="205"/>
      <c r="BQ63" s="206"/>
      <c r="BR63" s="84"/>
      <c r="BS63" s="205"/>
      <c r="BT63" s="206"/>
      <c r="BU63" s="84"/>
      <c r="BV63" s="201"/>
      <c r="BW63" s="202"/>
      <c r="BX63" s="91"/>
      <c r="BY63" s="390"/>
      <c r="BZ63" s="391"/>
      <c r="CA63" s="92"/>
    </row>
    <row r="64" spans="1:79" customFormat="1" ht="14.45" customHeight="1" x14ac:dyDescent="0.25">
      <c r="A64" s="13"/>
      <c r="B64" s="368">
        <v>14</v>
      </c>
      <c r="C64" s="16"/>
      <c r="D64" s="164"/>
      <c r="E64" s="165"/>
      <c r="F64" s="16"/>
      <c r="G64" s="226"/>
      <c r="H64" s="226"/>
      <c r="I64" s="14"/>
      <c r="J64" s="226"/>
      <c r="K64" s="226"/>
      <c r="L64" s="16"/>
      <c r="M64" s="164"/>
      <c r="N64" s="165"/>
      <c r="O64" s="16"/>
      <c r="P64" s="201"/>
      <c r="Q64" s="202"/>
      <c r="R64" s="17"/>
      <c r="S64" s="201"/>
      <c r="T64" s="202"/>
      <c r="U64" s="19"/>
      <c r="V64" s="11"/>
      <c r="W64" s="11"/>
      <c r="X64" s="11"/>
      <c r="Y64" s="13"/>
      <c r="Z64" s="368">
        <v>14</v>
      </c>
      <c r="AA64" s="14"/>
      <c r="AB64" s="345"/>
      <c r="AC64" s="346"/>
      <c r="AD64" s="26"/>
      <c r="AE64" s="226"/>
      <c r="AF64" s="226"/>
      <c r="AG64" s="26"/>
      <c r="AH64" s="293"/>
      <c r="AI64" s="294"/>
      <c r="AJ64" s="14"/>
      <c r="AK64" s="226"/>
      <c r="AL64" s="226"/>
      <c r="AM64" s="14"/>
      <c r="AN64" s="308"/>
      <c r="AO64" s="309"/>
      <c r="AP64" s="14"/>
      <c r="AQ64" s="207"/>
      <c r="AR64" s="208"/>
      <c r="AS64" s="14"/>
      <c r="AT64" s="207"/>
      <c r="AU64" s="208"/>
      <c r="AV64" s="27"/>
      <c r="AW64" s="28"/>
      <c r="AX64" s="83"/>
      <c r="AY64" s="368">
        <v>14</v>
      </c>
      <c r="AZ64" s="84"/>
      <c r="BA64" s="215"/>
      <c r="BB64" s="216"/>
      <c r="BC64" s="84"/>
      <c r="BD64" s="201"/>
      <c r="BE64" s="202"/>
      <c r="BF64" s="84"/>
      <c r="BG64" s="176"/>
      <c r="BH64" s="177"/>
      <c r="BI64" s="84"/>
      <c r="BJ64" s="347"/>
      <c r="BK64" s="348"/>
      <c r="BL64" s="84"/>
      <c r="BM64" s="207"/>
      <c r="BN64" s="208"/>
      <c r="BO64" s="84"/>
      <c r="BP64" s="207"/>
      <c r="BQ64" s="208"/>
      <c r="BR64" s="84"/>
      <c r="BS64" s="207"/>
      <c r="BT64" s="208"/>
      <c r="BU64" s="84"/>
      <c r="BV64" s="201"/>
      <c r="BW64" s="202"/>
      <c r="BX64" s="94"/>
      <c r="BY64" s="407"/>
      <c r="BZ64" s="408"/>
      <c r="CA64" s="95"/>
    </row>
    <row r="65" spans="1:79" customFormat="1" ht="14.45" customHeight="1" x14ac:dyDescent="0.25">
      <c r="A65" s="13"/>
      <c r="B65" s="368"/>
      <c r="C65" s="16"/>
      <c r="D65" s="363"/>
      <c r="E65" s="363"/>
      <c r="F65" s="16"/>
      <c r="G65" s="226"/>
      <c r="H65" s="226"/>
      <c r="I65" s="14"/>
      <c r="J65" s="226"/>
      <c r="K65" s="226"/>
      <c r="L65" s="16"/>
      <c r="M65" s="363"/>
      <c r="N65" s="363"/>
      <c r="O65" s="16"/>
      <c r="P65" s="201"/>
      <c r="Q65" s="202"/>
      <c r="R65" s="17"/>
      <c r="S65" s="201"/>
      <c r="T65" s="202"/>
      <c r="U65" s="19"/>
      <c r="V65" s="11"/>
      <c r="W65" s="11"/>
      <c r="X65" s="11"/>
      <c r="Y65" s="13"/>
      <c r="Z65" s="368"/>
      <c r="AA65" s="14"/>
      <c r="AB65" s="337"/>
      <c r="AC65" s="338"/>
      <c r="AD65" s="26"/>
      <c r="AE65" s="226" t="str">
        <f>IF(AE64="","",VLOOKUP(AE64,mco_101,2,FALSE))</f>
        <v/>
      </c>
      <c r="AF65" s="226"/>
      <c r="AG65" s="26"/>
      <c r="AH65" s="321"/>
      <c r="AI65" s="322"/>
      <c r="AJ65" s="14"/>
      <c r="AK65" s="226" t="str">
        <f>IF(AK64="","",VLOOKUP(AK64,mco_105,2,FALSE))</f>
        <v/>
      </c>
      <c r="AL65" s="226"/>
      <c r="AM65" s="14"/>
      <c r="AN65" s="297"/>
      <c r="AO65" s="298"/>
      <c r="AP65" s="14"/>
      <c r="AQ65" s="207" t="str">
        <f>IF(AQ64="","",VLOOKUP(AQ64,mco_91,2,FALSE))</f>
        <v/>
      </c>
      <c r="AR65" s="208"/>
      <c r="AS65" s="14"/>
      <c r="AT65" s="207" t="str">
        <f>IF(AT64="","",VLOOKUP(AT64,mco_95,2,FALSE))</f>
        <v/>
      </c>
      <c r="AU65" s="208"/>
      <c r="AV65" s="27"/>
      <c r="AW65" s="28"/>
      <c r="AX65" s="83"/>
      <c r="AY65" s="368"/>
      <c r="AZ65" s="84"/>
      <c r="BA65" s="217"/>
      <c r="BB65" s="218"/>
      <c r="BC65" s="84"/>
      <c r="BD65" s="201" t="str">
        <f>IF(BD64="","",VLOOKUP(BD64,gpme_1,2,FALSE))</f>
        <v/>
      </c>
      <c r="BE65" s="202"/>
      <c r="BF65" s="84"/>
      <c r="BG65" s="178"/>
      <c r="BH65" s="179"/>
      <c r="BI65" s="84"/>
      <c r="BJ65" s="349"/>
      <c r="BK65" s="350"/>
      <c r="BL65" s="84"/>
      <c r="BM65" s="207" t="str">
        <f>IF(BM64="","",VLOOKUP(BM64,rdc_16,2,FALSE))</f>
        <v/>
      </c>
      <c r="BN65" s="208"/>
      <c r="BO65" s="84"/>
      <c r="BP65" s="207" t="str">
        <f>IF(BP64="","",VLOOKUP(BP64,rdc_16,2,FALSE))</f>
        <v/>
      </c>
      <c r="BQ65" s="208"/>
      <c r="BR65" s="84"/>
      <c r="BS65" s="207" t="str">
        <f>IF(BS64="","",VLOOKUP(BS64,rdc_16,2,FALSE))</f>
        <v/>
      </c>
      <c r="BT65" s="208"/>
      <c r="BU65" s="84"/>
      <c r="BV65" s="201" t="str">
        <f>IF(BV64="","",VLOOKUP(BV64,m_2,2,FALSE))</f>
        <v/>
      </c>
      <c r="BW65" s="202"/>
      <c r="BX65" s="94"/>
      <c r="BY65" s="403"/>
      <c r="BZ65" s="404"/>
      <c r="CA65" s="95"/>
    </row>
    <row r="66" spans="1:79" customFormat="1" ht="11.45" customHeight="1" x14ac:dyDescent="0.25">
      <c r="A66" s="13"/>
      <c r="B66" s="30"/>
      <c r="C66" s="16"/>
      <c r="D66" s="226"/>
      <c r="E66" s="226"/>
      <c r="F66" s="16"/>
      <c r="G66" s="226"/>
      <c r="H66" s="226"/>
      <c r="I66" s="14"/>
      <c r="J66" s="226"/>
      <c r="K66" s="226"/>
      <c r="L66" s="16"/>
      <c r="M66" s="226"/>
      <c r="N66" s="226"/>
      <c r="O66" s="16"/>
      <c r="P66" s="201"/>
      <c r="Q66" s="202"/>
      <c r="R66" s="17"/>
      <c r="S66" s="201"/>
      <c r="T66" s="202"/>
      <c r="U66" s="19"/>
      <c r="V66" s="11"/>
      <c r="W66" s="11"/>
      <c r="X66" s="11"/>
      <c r="Y66" s="13"/>
      <c r="Z66" s="147"/>
      <c r="AA66" s="14"/>
      <c r="AB66" s="341" t="str">
        <f>IF(AB65="","",VLOOKUP(AB65,mco_99,2,FALSE))</f>
        <v/>
      </c>
      <c r="AC66" s="342"/>
      <c r="AD66" s="22"/>
      <c r="AE66" s="226"/>
      <c r="AF66" s="226"/>
      <c r="AG66" s="22"/>
      <c r="AH66" s="313" t="str">
        <f>IF(AH65="","",VLOOKUP(AH65,mco_103,2,FALSE))</f>
        <v/>
      </c>
      <c r="AI66" s="314"/>
      <c r="AJ66" s="14"/>
      <c r="AK66" s="226"/>
      <c r="AL66" s="226"/>
      <c r="AM66" s="14"/>
      <c r="AN66" s="303" t="str">
        <f>IF(AN65="","",VLOOKUP(AN65,mco_91,2,FALSE))</f>
        <v/>
      </c>
      <c r="AO66" s="304"/>
      <c r="AP66" s="14"/>
      <c r="AQ66" s="205"/>
      <c r="AR66" s="206"/>
      <c r="AS66" s="14"/>
      <c r="AT66" s="205"/>
      <c r="AU66" s="206"/>
      <c r="AV66" s="23"/>
      <c r="AW66" s="24"/>
      <c r="AX66" s="83"/>
      <c r="AY66" s="147"/>
      <c r="AZ66" s="84"/>
      <c r="BA66" s="213" t="str">
        <f>IF(BA65="","",VLOOKUP(BA65,gpme_2,2,FALSE))</f>
        <v/>
      </c>
      <c r="BB66" s="214"/>
      <c r="BC66" s="84"/>
      <c r="BD66" s="201"/>
      <c r="BE66" s="202"/>
      <c r="BF66" s="84"/>
      <c r="BG66" s="170" t="str">
        <f>IF(BG65="","",VLOOKUP(BG65,ndrc_7,2,FALSE))</f>
        <v/>
      </c>
      <c r="BH66" s="171"/>
      <c r="BI66" s="84"/>
      <c r="BJ66" s="343" t="str">
        <f>IF(BJ65="","",VLOOKUP(BJ65,ndrc_5,2,FALSE))</f>
        <v/>
      </c>
      <c r="BK66" s="344"/>
      <c r="BL66" s="84"/>
      <c r="BM66" s="205"/>
      <c r="BN66" s="206"/>
      <c r="BO66" s="84"/>
      <c r="BP66" s="205"/>
      <c r="BQ66" s="206"/>
      <c r="BR66" s="84"/>
      <c r="BS66" s="205"/>
      <c r="BT66" s="206"/>
      <c r="BU66" s="84"/>
      <c r="BV66" s="201"/>
      <c r="BW66" s="202"/>
      <c r="BX66" s="91"/>
      <c r="BY66" s="390"/>
      <c r="BZ66" s="391"/>
      <c r="CA66" s="92"/>
    </row>
    <row r="67" spans="1:79" customFormat="1" ht="11.45" customHeight="1" thickBot="1" x14ac:dyDescent="0.3">
      <c r="A67" s="13"/>
      <c r="B67" s="32"/>
      <c r="C67" s="16"/>
      <c r="D67" s="281"/>
      <c r="E67" s="281"/>
      <c r="F67" s="16"/>
      <c r="G67" s="281"/>
      <c r="H67" s="281"/>
      <c r="I67" s="14"/>
      <c r="J67" s="281"/>
      <c r="K67" s="281"/>
      <c r="L67" s="16"/>
      <c r="M67" s="281"/>
      <c r="N67" s="281"/>
      <c r="O67" s="16"/>
      <c r="P67" s="203"/>
      <c r="Q67" s="204"/>
      <c r="R67" s="17"/>
      <c r="S67" s="203"/>
      <c r="T67" s="204"/>
      <c r="U67" s="19"/>
      <c r="V67" s="11"/>
      <c r="W67" s="11"/>
      <c r="X67" s="11"/>
      <c r="Y67" s="13"/>
      <c r="Z67" s="98"/>
      <c r="AA67" s="14"/>
      <c r="AB67" s="331"/>
      <c r="AC67" s="332"/>
      <c r="AD67" s="26"/>
      <c r="AE67" s="281"/>
      <c r="AF67" s="281"/>
      <c r="AG67" s="26"/>
      <c r="AH67" s="413"/>
      <c r="AI67" s="414"/>
      <c r="AJ67" s="14"/>
      <c r="AK67" s="281"/>
      <c r="AL67" s="281"/>
      <c r="AM67" s="14"/>
      <c r="AN67" s="295"/>
      <c r="AO67" s="296"/>
      <c r="AP67" s="14"/>
      <c r="AQ67" s="209"/>
      <c r="AR67" s="210"/>
      <c r="AS67" s="14"/>
      <c r="AT67" s="209"/>
      <c r="AU67" s="210"/>
      <c r="AV67" s="27"/>
      <c r="AW67" s="28"/>
      <c r="AX67" s="83"/>
      <c r="AY67" s="98"/>
      <c r="AZ67" s="100"/>
      <c r="BA67" s="219"/>
      <c r="BB67" s="220"/>
      <c r="BC67" s="100"/>
      <c r="BD67" s="203"/>
      <c r="BE67" s="204"/>
      <c r="BF67" s="100"/>
      <c r="BG67" s="172"/>
      <c r="BH67" s="173"/>
      <c r="BI67" s="100"/>
      <c r="BJ67" s="327"/>
      <c r="BK67" s="441"/>
      <c r="BL67" s="84"/>
      <c r="BM67" s="207"/>
      <c r="BN67" s="208"/>
      <c r="BO67" s="84"/>
      <c r="BP67" s="207"/>
      <c r="BQ67" s="208"/>
      <c r="BR67" s="84"/>
      <c r="BS67" s="207"/>
      <c r="BT67" s="208"/>
      <c r="BU67" s="84"/>
      <c r="BV67" s="203"/>
      <c r="BW67" s="204"/>
      <c r="BX67" s="94"/>
      <c r="BY67" s="382"/>
      <c r="BZ67" s="383"/>
      <c r="CA67" s="95"/>
    </row>
    <row r="68" spans="1:79" customFormat="1" ht="11.45" customHeight="1" x14ac:dyDescent="0.25">
      <c r="A68" s="13"/>
      <c r="B68" s="25"/>
      <c r="C68" s="16"/>
      <c r="D68" s="424"/>
      <c r="E68" s="424"/>
      <c r="F68" s="16"/>
      <c r="G68" s="371"/>
      <c r="H68" s="371"/>
      <c r="I68" s="14"/>
      <c r="J68" s="362"/>
      <c r="K68" s="362"/>
      <c r="L68" s="16"/>
      <c r="M68" s="371"/>
      <c r="N68" s="371"/>
      <c r="O68" s="16"/>
      <c r="P68" s="194"/>
      <c r="Q68" s="195"/>
      <c r="R68" s="17"/>
      <c r="S68" s="230"/>
      <c r="T68" s="231"/>
      <c r="U68" s="19"/>
      <c r="V68" s="11"/>
      <c r="W68" s="11"/>
      <c r="X68" s="11"/>
      <c r="Y68" s="13"/>
      <c r="Z68" s="93"/>
      <c r="AA68" s="14"/>
      <c r="AB68" s="355"/>
      <c r="AC68" s="356"/>
      <c r="AD68" s="26"/>
      <c r="AE68" s="357"/>
      <c r="AF68" s="266"/>
      <c r="AG68" s="26"/>
      <c r="AH68" s="419"/>
      <c r="AI68" s="420"/>
      <c r="AJ68" s="14"/>
      <c r="AK68" s="409" t="str">
        <f>IF(AK67="","",VLOOKUP(AK67,mco_105,2,FALSE))</f>
        <v/>
      </c>
      <c r="AL68" s="409"/>
      <c r="AM68" s="14"/>
      <c r="AN68" s="360"/>
      <c r="AO68" s="361"/>
      <c r="AP68" s="14"/>
      <c r="AQ68" s="486"/>
      <c r="AR68" s="487"/>
      <c r="AS68" s="14"/>
      <c r="AT68" s="194" t="str">
        <f>IF(AT67="","",VLOOKUP(AT67,mco_95,2,FALSE))</f>
        <v/>
      </c>
      <c r="AU68" s="195"/>
      <c r="AV68" s="27"/>
      <c r="AW68" s="28"/>
      <c r="AX68" s="83"/>
      <c r="AY68" s="93"/>
      <c r="AZ68" s="84"/>
      <c r="BA68" s="221"/>
      <c r="BB68" s="222"/>
      <c r="BC68" s="84"/>
      <c r="BD68" s="273" t="str">
        <f>IF(BD67="","",VLOOKUP(BD67,gpme_1,2,FALSE))</f>
        <v/>
      </c>
      <c r="BE68" s="274"/>
      <c r="BF68" s="84"/>
      <c r="BG68" s="174"/>
      <c r="BH68" s="175"/>
      <c r="BI68" s="84"/>
      <c r="BJ68" s="358"/>
      <c r="BK68" s="359"/>
      <c r="BL68" s="84"/>
      <c r="BM68" s="192" t="str">
        <f>IF(BM67="","",VLOOKUP(BM67,rdc_16,2,FALSE))</f>
        <v/>
      </c>
      <c r="BN68" s="193"/>
      <c r="BO68" s="84"/>
      <c r="BP68" s="192" t="str">
        <f>IF(BP67="","",VLOOKUP(BP67,rdc_16,2,FALSE))</f>
        <v/>
      </c>
      <c r="BQ68" s="193"/>
      <c r="BR68" s="84"/>
      <c r="BS68" s="192" t="str">
        <f>IF(BS67="","",VLOOKUP(BS67,rdc_16,2,FALSE))</f>
        <v/>
      </c>
      <c r="BT68" s="193"/>
      <c r="BU68" s="84"/>
      <c r="BV68" s="273" t="str">
        <f>IF(BV67="","",VLOOKUP(BV67,m_2,2,FALSE))</f>
        <v/>
      </c>
      <c r="BW68" s="274"/>
      <c r="BX68" s="94"/>
      <c r="BY68" s="422"/>
      <c r="BZ68" s="423"/>
      <c r="CA68" s="95"/>
    </row>
    <row r="69" spans="1:79" customFormat="1" ht="11.45" customHeight="1" x14ac:dyDescent="0.25">
      <c r="A69" s="13"/>
      <c r="B69" s="29" t="s">
        <v>5</v>
      </c>
      <c r="C69" s="16"/>
      <c r="D69" s="316"/>
      <c r="E69" s="316"/>
      <c r="F69" s="16"/>
      <c r="G69" s="226"/>
      <c r="H69" s="226"/>
      <c r="I69" s="14"/>
      <c r="J69" s="315"/>
      <c r="K69" s="315"/>
      <c r="L69" s="16"/>
      <c r="M69" s="226"/>
      <c r="N69" s="226"/>
      <c r="O69" s="16"/>
      <c r="P69" s="201"/>
      <c r="Q69" s="202"/>
      <c r="R69" s="17"/>
      <c r="S69" s="325"/>
      <c r="T69" s="326"/>
      <c r="U69" s="19"/>
      <c r="V69" s="11"/>
      <c r="W69" s="11"/>
      <c r="X69" s="11"/>
      <c r="Y69" s="13"/>
      <c r="Z69" s="96" t="s">
        <v>5</v>
      </c>
      <c r="AA69" s="14"/>
      <c r="AB69" s="341" t="str">
        <f>IF(AB68="","",VLOOKUP(AB68,mco_99,2,FALSE))</f>
        <v/>
      </c>
      <c r="AC69" s="342"/>
      <c r="AD69" s="22"/>
      <c r="AE69" s="287" t="str">
        <f>IF(AE68="","",VLOOKUP(AE68,mco_101,2,FALSE))</f>
        <v/>
      </c>
      <c r="AF69" s="169"/>
      <c r="AG69" s="22"/>
      <c r="AH69" s="313" t="str">
        <f>IF(AH68="","",VLOOKUP(AH68,mco_103,2,FALSE))</f>
        <v/>
      </c>
      <c r="AI69" s="314"/>
      <c r="AJ69" s="14"/>
      <c r="AK69" s="241"/>
      <c r="AL69" s="241"/>
      <c r="AM69" s="14"/>
      <c r="AN69" s="303" t="str">
        <f>IF(AN68="","",VLOOKUP(AN68,mco_91,2,FALSE))</f>
        <v/>
      </c>
      <c r="AO69" s="304"/>
      <c r="AP69" s="14"/>
      <c r="AQ69" s="488" t="str">
        <f>IF(AQ68="","",VLOOKUP(AQ68,mco_91,2,FALSE))</f>
        <v/>
      </c>
      <c r="AR69" s="489"/>
      <c r="AS69" s="14"/>
      <c r="AT69" s="205"/>
      <c r="AU69" s="206"/>
      <c r="AV69" s="23"/>
      <c r="AW69" s="24"/>
      <c r="AX69" s="83"/>
      <c r="AY69" s="96" t="s">
        <v>5</v>
      </c>
      <c r="AZ69" s="84"/>
      <c r="BA69" s="213" t="str">
        <f>IF(BA68="","",VLOOKUP(BA68,gpme_2,2,FALSE))</f>
        <v/>
      </c>
      <c r="BB69" s="214"/>
      <c r="BC69" s="84"/>
      <c r="BD69" s="201"/>
      <c r="BE69" s="202"/>
      <c r="BF69" s="84"/>
      <c r="BG69" s="170" t="str">
        <f>IF(BG68="","",VLOOKUP(BG68,ndrc_7,2,FALSE))</f>
        <v/>
      </c>
      <c r="BH69" s="171"/>
      <c r="BI69" s="84"/>
      <c r="BJ69" s="343" t="str">
        <f>IF(BJ68="","",VLOOKUP(BJ68,ndrc_5,2,FALSE))</f>
        <v/>
      </c>
      <c r="BK69" s="344"/>
      <c r="BL69" s="84"/>
      <c r="BM69" s="190"/>
      <c r="BN69" s="191"/>
      <c r="BO69" s="84"/>
      <c r="BP69" s="190"/>
      <c r="BQ69" s="191"/>
      <c r="BR69" s="84"/>
      <c r="BS69" s="190"/>
      <c r="BT69" s="191"/>
      <c r="BU69" s="84"/>
      <c r="BV69" s="201"/>
      <c r="BW69" s="202"/>
      <c r="BX69" s="91"/>
      <c r="BY69" s="390"/>
      <c r="BZ69" s="391"/>
      <c r="CA69" s="92"/>
    </row>
    <row r="70" spans="1:79" customFormat="1" ht="14.45" customHeight="1" x14ac:dyDescent="0.25">
      <c r="A70" s="13"/>
      <c r="B70" s="368">
        <v>15</v>
      </c>
      <c r="C70" s="16"/>
      <c r="D70" s="312"/>
      <c r="E70" s="312"/>
      <c r="F70" s="16"/>
      <c r="G70" s="226"/>
      <c r="H70" s="226"/>
      <c r="I70" s="14"/>
      <c r="J70" s="310"/>
      <c r="K70" s="311"/>
      <c r="L70" s="16"/>
      <c r="M70" s="164"/>
      <c r="N70" s="165"/>
      <c r="O70" s="16"/>
      <c r="P70" s="201"/>
      <c r="Q70" s="202"/>
      <c r="R70" s="17"/>
      <c r="S70" s="325"/>
      <c r="T70" s="326"/>
      <c r="U70" s="19"/>
      <c r="V70" s="11"/>
      <c r="W70" s="11"/>
      <c r="X70" s="11"/>
      <c r="Y70" s="13"/>
      <c r="Z70" s="368">
        <v>15</v>
      </c>
      <c r="AA70" s="14"/>
      <c r="AB70" s="345"/>
      <c r="AC70" s="346"/>
      <c r="AD70" s="26"/>
      <c r="AE70" s="305"/>
      <c r="AF70" s="169"/>
      <c r="AG70" s="26"/>
      <c r="AH70" s="306"/>
      <c r="AI70" s="307"/>
      <c r="AJ70" s="14"/>
      <c r="AK70" s="241"/>
      <c r="AL70" s="241"/>
      <c r="AM70" s="14"/>
      <c r="AN70" s="308"/>
      <c r="AO70" s="309"/>
      <c r="AP70" s="14"/>
      <c r="AQ70" s="490"/>
      <c r="AR70" s="491"/>
      <c r="AS70" s="14"/>
      <c r="AT70" s="207"/>
      <c r="AU70" s="208"/>
      <c r="AV70" s="27"/>
      <c r="AW70" s="28"/>
      <c r="AX70" s="83"/>
      <c r="AY70" s="368">
        <v>15</v>
      </c>
      <c r="AZ70" s="84"/>
      <c r="BA70" s="215"/>
      <c r="BB70" s="216"/>
      <c r="BC70" s="84"/>
      <c r="BD70" s="201"/>
      <c r="BE70" s="202"/>
      <c r="BF70" s="84"/>
      <c r="BG70" s="176"/>
      <c r="BH70" s="177"/>
      <c r="BI70" s="84"/>
      <c r="BJ70" s="347"/>
      <c r="BK70" s="348"/>
      <c r="BL70" s="84"/>
      <c r="BM70" s="188"/>
      <c r="BN70" s="189"/>
      <c r="BO70" s="84"/>
      <c r="BP70" s="188"/>
      <c r="BQ70" s="189"/>
      <c r="BR70" s="84"/>
      <c r="BS70" s="188"/>
      <c r="BT70" s="189"/>
      <c r="BU70" s="84"/>
      <c r="BV70" s="201"/>
      <c r="BW70" s="202"/>
      <c r="BX70" s="94"/>
      <c r="BY70" s="407"/>
      <c r="BZ70" s="408"/>
      <c r="CA70" s="95"/>
    </row>
    <row r="71" spans="1:79" customFormat="1" ht="11.25" customHeight="1" x14ac:dyDescent="0.25">
      <c r="A71" s="13"/>
      <c r="B71" s="368"/>
      <c r="C71" s="16"/>
      <c r="D71" s="302"/>
      <c r="E71" s="302"/>
      <c r="F71" s="16"/>
      <c r="G71" s="226"/>
      <c r="H71" s="226"/>
      <c r="I71" s="14"/>
      <c r="J71" s="299"/>
      <c r="K71" s="299"/>
      <c r="L71" s="16"/>
      <c r="M71" s="363"/>
      <c r="N71" s="363"/>
      <c r="O71" s="16"/>
      <c r="P71" s="201"/>
      <c r="Q71" s="202"/>
      <c r="R71" s="17"/>
      <c r="S71" s="325"/>
      <c r="T71" s="326"/>
      <c r="U71" s="19"/>
      <c r="V71" s="11"/>
      <c r="W71" s="11"/>
      <c r="X71" s="11"/>
      <c r="Y71" s="13"/>
      <c r="Z71" s="368"/>
      <c r="AA71" s="14"/>
      <c r="AB71" s="337"/>
      <c r="AC71" s="338"/>
      <c r="AD71" s="26"/>
      <c r="AE71" s="319"/>
      <c r="AF71" s="320"/>
      <c r="AG71" s="26"/>
      <c r="AH71" s="321"/>
      <c r="AI71" s="322"/>
      <c r="AJ71" s="14"/>
      <c r="AK71" s="241" t="str">
        <f>IF(AK70="","",VLOOKUP(AK70,mco_105,2,FALSE))</f>
        <v/>
      </c>
      <c r="AL71" s="241"/>
      <c r="AM71" s="14"/>
      <c r="AN71" s="297"/>
      <c r="AO71" s="298"/>
      <c r="AP71" s="14"/>
      <c r="AQ71" s="492"/>
      <c r="AR71" s="493"/>
      <c r="AS71" s="14"/>
      <c r="AT71" s="207" t="str">
        <f>IF(AT70="","",VLOOKUP(AT70,mco_95,2,FALSE))</f>
        <v/>
      </c>
      <c r="AU71" s="208"/>
      <c r="AV71" s="27"/>
      <c r="AW71" s="28"/>
      <c r="AX71" s="83"/>
      <c r="AY71" s="368"/>
      <c r="AZ71" s="84"/>
      <c r="BA71" s="217"/>
      <c r="BB71" s="218"/>
      <c r="BC71" s="84"/>
      <c r="BD71" s="201" t="str">
        <f>IF(BD70="","",VLOOKUP(BD70,gpme_1,2,FALSE))</f>
        <v/>
      </c>
      <c r="BE71" s="202"/>
      <c r="BF71" s="84"/>
      <c r="BG71" s="178"/>
      <c r="BH71" s="179"/>
      <c r="BI71" s="84"/>
      <c r="BJ71" s="349"/>
      <c r="BK71" s="350"/>
      <c r="BL71" s="84"/>
      <c r="BM71" s="188" t="str">
        <f>IF(BM70="","",VLOOKUP(BM70,rdc_16,2,FALSE))</f>
        <v/>
      </c>
      <c r="BN71" s="189"/>
      <c r="BO71" s="84"/>
      <c r="BP71" s="188" t="str">
        <f>IF(BP70="","",VLOOKUP(BP70,rdc_16,2,FALSE))</f>
        <v/>
      </c>
      <c r="BQ71" s="189"/>
      <c r="BR71" s="84"/>
      <c r="BS71" s="188" t="str">
        <f>IF(BS70="","",VLOOKUP(BS70,rdc_16,2,FALSE))</f>
        <v/>
      </c>
      <c r="BT71" s="189"/>
      <c r="BU71" s="84"/>
      <c r="BV71" s="201" t="str">
        <f>IF(BV70="","",VLOOKUP(BV70,m_2,2,FALSE))</f>
        <v/>
      </c>
      <c r="BW71" s="202"/>
      <c r="BX71" s="94"/>
      <c r="BY71" s="403"/>
      <c r="BZ71" s="404"/>
      <c r="CA71" s="95"/>
    </row>
    <row r="72" spans="1:79" customFormat="1" ht="11.45" customHeight="1" x14ac:dyDescent="0.25">
      <c r="A72" s="13"/>
      <c r="B72" s="30"/>
      <c r="C72" s="16"/>
      <c r="D72" s="316"/>
      <c r="E72" s="316"/>
      <c r="F72" s="16"/>
      <c r="G72" s="226"/>
      <c r="H72" s="226"/>
      <c r="I72" s="14"/>
      <c r="J72" s="315"/>
      <c r="K72" s="315"/>
      <c r="L72" s="16"/>
      <c r="M72" s="226"/>
      <c r="N72" s="226"/>
      <c r="O72" s="16"/>
      <c r="P72" s="201"/>
      <c r="Q72" s="202"/>
      <c r="R72" s="17"/>
      <c r="S72" s="325"/>
      <c r="T72" s="326"/>
      <c r="U72" s="19"/>
      <c r="V72" s="11"/>
      <c r="W72" s="11"/>
      <c r="X72" s="11"/>
      <c r="Y72" s="13"/>
      <c r="Z72" s="147"/>
      <c r="AA72" s="14"/>
      <c r="AB72" s="341" t="str">
        <f>IF(AB71="","",VLOOKUP(AB71,mco_99,2,FALSE))</f>
        <v/>
      </c>
      <c r="AC72" s="342"/>
      <c r="AD72" s="22"/>
      <c r="AE72" s="287" t="str">
        <f>IF(AE71="","",VLOOKUP(AE71,mco_101,2,FALSE))</f>
        <v/>
      </c>
      <c r="AF72" s="169"/>
      <c r="AG72" s="22"/>
      <c r="AH72" s="313" t="str">
        <f>IF(AH71="","",VLOOKUP(AH71,mco_103,2,FALSE))</f>
        <v/>
      </c>
      <c r="AI72" s="314"/>
      <c r="AJ72" s="14"/>
      <c r="AK72" s="241"/>
      <c r="AL72" s="241"/>
      <c r="AM72" s="14"/>
      <c r="AN72" s="303" t="str">
        <f>IF(AN71="","",VLOOKUP(AN71,mco_91,2,FALSE))</f>
        <v/>
      </c>
      <c r="AO72" s="304"/>
      <c r="AP72" s="14"/>
      <c r="AQ72" s="488" t="str">
        <f>IF(AQ71="","",VLOOKUP(AQ71,mco_91,2,FALSE))</f>
        <v/>
      </c>
      <c r="AR72" s="489"/>
      <c r="AS72" s="14"/>
      <c r="AT72" s="205"/>
      <c r="AU72" s="206"/>
      <c r="AV72" s="23"/>
      <c r="AW72" s="24"/>
      <c r="AX72" s="83"/>
      <c r="AY72" s="147"/>
      <c r="AZ72" s="84"/>
      <c r="BA72" s="213" t="str">
        <f>IF(BA71="","",VLOOKUP(BA71,gpme_2,2,FALSE))</f>
        <v/>
      </c>
      <c r="BB72" s="214"/>
      <c r="BC72" s="84"/>
      <c r="BD72" s="201"/>
      <c r="BE72" s="202"/>
      <c r="BF72" s="84"/>
      <c r="BG72" s="170" t="str">
        <f>IF(BG71="","",VLOOKUP(BG71,ndrc_7,2,FALSE))</f>
        <v/>
      </c>
      <c r="BH72" s="171"/>
      <c r="BI72" s="84"/>
      <c r="BJ72" s="343" t="str">
        <f>IF(BJ71="","",VLOOKUP(BJ71,ndrc_5,2,FALSE))</f>
        <v/>
      </c>
      <c r="BK72" s="344"/>
      <c r="BL72" s="84"/>
      <c r="BM72" s="190"/>
      <c r="BN72" s="191"/>
      <c r="BO72" s="84"/>
      <c r="BP72" s="190"/>
      <c r="BQ72" s="191"/>
      <c r="BR72" s="84"/>
      <c r="BS72" s="190"/>
      <c r="BT72" s="191"/>
      <c r="BU72" s="84"/>
      <c r="BV72" s="201"/>
      <c r="BW72" s="202"/>
      <c r="BX72" s="91"/>
      <c r="BY72" s="390"/>
      <c r="BZ72" s="391"/>
      <c r="CA72" s="92"/>
    </row>
    <row r="73" spans="1:79" customFormat="1" ht="11.45" customHeight="1" thickBot="1" x14ac:dyDescent="0.3">
      <c r="A73" s="13"/>
      <c r="B73" s="32"/>
      <c r="C73" s="16"/>
      <c r="D73" s="282"/>
      <c r="E73" s="282"/>
      <c r="F73" s="16"/>
      <c r="G73" s="281"/>
      <c r="H73" s="281"/>
      <c r="I73" s="14"/>
      <c r="J73" s="279"/>
      <c r="K73" s="280"/>
      <c r="L73" s="16"/>
      <c r="M73" s="281"/>
      <c r="N73" s="281"/>
      <c r="O73" s="16"/>
      <c r="P73" s="203"/>
      <c r="Q73" s="204"/>
      <c r="R73" s="17"/>
      <c r="S73" s="333"/>
      <c r="T73" s="334"/>
      <c r="U73" s="19"/>
      <c r="V73" s="11"/>
      <c r="W73" s="11"/>
      <c r="X73" s="11"/>
      <c r="Y73" s="13"/>
      <c r="Z73" s="98"/>
      <c r="AA73" s="14"/>
      <c r="AB73" s="331"/>
      <c r="AC73" s="332"/>
      <c r="AD73" s="26"/>
      <c r="AE73" s="291"/>
      <c r="AF73" s="292"/>
      <c r="AG73" s="26"/>
      <c r="AH73" s="293"/>
      <c r="AI73" s="294"/>
      <c r="AJ73" s="14"/>
      <c r="AK73" s="290"/>
      <c r="AL73" s="290"/>
      <c r="AM73" s="14"/>
      <c r="AN73" s="295"/>
      <c r="AO73" s="296"/>
      <c r="AP73" s="14"/>
      <c r="AQ73" s="494"/>
      <c r="AR73" s="495"/>
      <c r="AS73" s="14"/>
      <c r="AT73" s="209"/>
      <c r="AU73" s="210"/>
      <c r="AV73" s="27"/>
      <c r="AW73" s="28"/>
      <c r="AX73" s="83"/>
      <c r="AY73" s="98"/>
      <c r="AZ73" s="100"/>
      <c r="BA73" s="219"/>
      <c r="BB73" s="220"/>
      <c r="BC73" s="100"/>
      <c r="BD73" s="203"/>
      <c r="BE73" s="204"/>
      <c r="BF73" s="100"/>
      <c r="BG73" s="172"/>
      <c r="BH73" s="173"/>
      <c r="BI73" s="100"/>
      <c r="BJ73" s="327"/>
      <c r="BK73" s="441"/>
      <c r="BL73" s="84"/>
      <c r="BM73" s="427"/>
      <c r="BN73" s="428"/>
      <c r="BO73" s="84"/>
      <c r="BP73" s="427"/>
      <c r="BQ73" s="428"/>
      <c r="BR73" s="84"/>
      <c r="BS73" s="427"/>
      <c r="BT73" s="428"/>
      <c r="BU73" s="84"/>
      <c r="BV73" s="203"/>
      <c r="BW73" s="204"/>
      <c r="BX73" s="94"/>
      <c r="BY73" s="382"/>
      <c r="BZ73" s="383"/>
      <c r="CA73" s="95"/>
    </row>
    <row r="74" spans="1:79" s="69" customFormat="1" ht="11.45" customHeight="1" x14ac:dyDescent="0.25">
      <c r="A74" s="13"/>
      <c r="B74" s="25"/>
      <c r="C74" s="16"/>
      <c r="D74" s="424"/>
      <c r="E74" s="424"/>
      <c r="F74" s="16"/>
      <c r="G74" s="371"/>
      <c r="H74" s="371"/>
      <c r="I74" s="14"/>
      <c r="J74" s="362"/>
      <c r="K74" s="362"/>
      <c r="L74" s="16"/>
      <c r="M74" s="371"/>
      <c r="N74" s="371"/>
      <c r="O74" s="16"/>
      <c r="P74" s="194"/>
      <c r="Q74" s="195"/>
      <c r="R74" s="17"/>
      <c r="S74" s="194"/>
      <c r="T74" s="195"/>
      <c r="U74" s="19"/>
      <c r="V74" s="11"/>
      <c r="W74" s="11"/>
      <c r="X74" s="11"/>
      <c r="Y74" s="13"/>
      <c r="Z74" s="93"/>
      <c r="AA74" s="14"/>
      <c r="AB74" s="355"/>
      <c r="AC74" s="356"/>
      <c r="AD74" s="26"/>
      <c r="AE74" s="357"/>
      <c r="AF74" s="266"/>
      <c r="AG74" s="26"/>
      <c r="AH74" s="419"/>
      <c r="AI74" s="420"/>
      <c r="AJ74" s="14"/>
      <c r="AK74" s="225"/>
      <c r="AL74" s="225"/>
      <c r="AM74" s="14"/>
      <c r="AN74" s="194"/>
      <c r="AO74" s="195"/>
      <c r="AP74" s="14"/>
      <c r="AQ74" s="486"/>
      <c r="AR74" s="487"/>
      <c r="AS74" s="14"/>
      <c r="AT74" s="225"/>
      <c r="AU74" s="225"/>
      <c r="AV74" s="27"/>
      <c r="AW74" s="28"/>
      <c r="AX74" s="83"/>
      <c r="AY74" s="93"/>
      <c r="AZ74" s="84"/>
      <c r="BA74" s="221"/>
      <c r="BB74" s="222"/>
      <c r="BC74" s="84"/>
      <c r="BD74" s="186"/>
      <c r="BE74" s="187"/>
      <c r="BF74" s="84"/>
      <c r="BG74" s="180"/>
      <c r="BH74" s="181"/>
      <c r="BI74" s="84"/>
      <c r="BJ74" s="180"/>
      <c r="BK74" s="181"/>
      <c r="BL74" s="84"/>
      <c r="BM74" s="186"/>
      <c r="BN74" s="187"/>
      <c r="BO74" s="84"/>
      <c r="BP74" s="186"/>
      <c r="BQ74" s="187"/>
      <c r="BR74" s="84"/>
      <c r="BS74" s="186"/>
      <c r="BT74" s="187"/>
      <c r="BU74" s="84"/>
      <c r="BV74" s="186"/>
      <c r="BW74" s="187"/>
      <c r="BX74" s="94"/>
      <c r="BY74" s="422"/>
      <c r="BZ74" s="423"/>
      <c r="CA74" s="95"/>
    </row>
    <row r="75" spans="1:79" s="69" customFormat="1" ht="11.45" customHeight="1" x14ac:dyDescent="0.25">
      <c r="A75" s="13"/>
      <c r="B75" s="29" t="s">
        <v>6</v>
      </c>
      <c r="C75" s="16"/>
      <c r="D75" s="316"/>
      <c r="E75" s="316"/>
      <c r="F75" s="16"/>
      <c r="G75" s="201"/>
      <c r="H75" s="202"/>
      <c r="I75" s="14"/>
      <c r="J75" s="315"/>
      <c r="K75" s="315"/>
      <c r="L75" s="16"/>
      <c r="M75" s="201"/>
      <c r="N75" s="202"/>
      <c r="O75" s="16"/>
      <c r="P75" s="201"/>
      <c r="Q75" s="202"/>
      <c r="R75" s="17"/>
      <c r="S75" s="201"/>
      <c r="T75" s="202"/>
      <c r="U75" s="19"/>
      <c r="V75" s="11"/>
      <c r="W75" s="11"/>
      <c r="X75" s="11"/>
      <c r="Y75" s="13"/>
      <c r="Z75" s="96" t="s">
        <v>6</v>
      </c>
      <c r="AA75" s="14"/>
      <c r="AB75" s="341"/>
      <c r="AC75" s="342"/>
      <c r="AD75" s="22"/>
      <c r="AE75" s="287" t="str">
        <f>IF(AE74="","",VLOOKUP(AE74,mco_101,2,FALSE))</f>
        <v/>
      </c>
      <c r="AF75" s="169"/>
      <c r="AG75" s="22"/>
      <c r="AH75" s="313" t="str">
        <f>IF(AH74="","",VLOOKUP(AH74,mco_103,2,FALSE))</f>
        <v/>
      </c>
      <c r="AI75" s="314"/>
      <c r="AJ75" s="14"/>
      <c r="AK75" s="201" t="str">
        <f>IF(AK74="","",VLOOKUP(AK74,mco_105,2,FALSE))</f>
        <v/>
      </c>
      <c r="AL75" s="202"/>
      <c r="AM75" s="14"/>
      <c r="AN75" s="205" t="str">
        <f>IF(AN74="","",VLOOKUP(AN74,mco_89,2,FALSE))</f>
        <v/>
      </c>
      <c r="AO75" s="206"/>
      <c r="AP75" s="14"/>
      <c r="AQ75" s="488" t="str">
        <f>IF(AQ74="","",VLOOKUP(AQ74,mco_91,2,FALSE))</f>
        <v/>
      </c>
      <c r="AR75" s="489"/>
      <c r="AS75" s="14"/>
      <c r="AT75" s="168" t="str">
        <f>IF(AT74="","",VLOOKUP(AT74,mco_95,2,FALSE))</f>
        <v/>
      </c>
      <c r="AU75" s="169"/>
      <c r="AV75" s="23"/>
      <c r="AW75" s="24"/>
      <c r="AX75" s="83"/>
      <c r="AY75" s="96" t="s">
        <v>6</v>
      </c>
      <c r="AZ75" s="84"/>
      <c r="BA75" s="213" t="str">
        <f>IF(BA74="","",VLOOKUP(BA74,gpme_2,2,FALSE))</f>
        <v/>
      </c>
      <c r="BB75" s="214"/>
      <c r="BC75" s="84"/>
      <c r="BD75" s="205" t="str">
        <f>IF(BD74="","",VLOOKUP(BD74,gpme_1,2,FALSE))</f>
        <v/>
      </c>
      <c r="BE75" s="206"/>
      <c r="BF75" s="84"/>
      <c r="BG75" s="182" t="str">
        <f>IF(BG74="","",VLOOKUP(BG74,ndrc_7,2,FALSE))</f>
        <v/>
      </c>
      <c r="BH75" s="183"/>
      <c r="BI75" s="84"/>
      <c r="BJ75" s="182" t="str">
        <f>IF(BJ74="","",VLOOKUP(BJ74,ndrc_7,2,FALSE))</f>
        <v/>
      </c>
      <c r="BK75" s="183"/>
      <c r="BL75" s="84"/>
      <c r="BM75" s="164" t="str">
        <f>IF(BM74="","",VLOOKUP(BM74,rdc_14,2,FALSE))</f>
        <v/>
      </c>
      <c r="BN75" s="165"/>
      <c r="BO75" s="84"/>
      <c r="BP75" s="164" t="str">
        <f>IF(BP74="","",VLOOKUP(BP74,rdc_14,2,FALSE))</f>
        <v/>
      </c>
      <c r="BQ75" s="165"/>
      <c r="BR75" s="84"/>
      <c r="BS75" s="164" t="str">
        <f>IF(BS74="","",VLOOKUP(BS74,rdc_14,2,FALSE))</f>
        <v/>
      </c>
      <c r="BT75" s="165"/>
      <c r="BU75" s="84"/>
      <c r="BV75" s="164" t="str">
        <f>IF(BV74="","",VLOOKUP(BV74,m_2,2,FALSE))</f>
        <v/>
      </c>
      <c r="BW75" s="165"/>
      <c r="BX75" s="91"/>
      <c r="BY75" s="390"/>
      <c r="BZ75" s="391"/>
      <c r="CA75" s="92"/>
    </row>
    <row r="76" spans="1:79" s="69" customFormat="1" ht="11.45" customHeight="1" x14ac:dyDescent="0.25">
      <c r="A76" s="13"/>
      <c r="B76" s="29"/>
      <c r="C76" s="16"/>
      <c r="D76" s="312"/>
      <c r="E76" s="312"/>
      <c r="F76" s="16"/>
      <c r="G76" s="201"/>
      <c r="H76" s="202"/>
      <c r="I76" s="14"/>
      <c r="J76" s="310"/>
      <c r="K76" s="311"/>
      <c r="L76" s="16"/>
      <c r="M76" s="201"/>
      <c r="N76" s="202"/>
      <c r="O76" s="16"/>
      <c r="P76" s="201"/>
      <c r="Q76" s="202"/>
      <c r="R76" s="17"/>
      <c r="S76" s="201"/>
      <c r="T76" s="202"/>
      <c r="U76" s="19"/>
      <c r="V76" s="11"/>
      <c r="W76" s="11"/>
      <c r="X76" s="11"/>
      <c r="Y76" s="13"/>
      <c r="Z76" s="96"/>
      <c r="AA76" s="14"/>
      <c r="AB76" s="345"/>
      <c r="AC76" s="346"/>
      <c r="AD76" s="22"/>
      <c r="AE76" s="305"/>
      <c r="AF76" s="169"/>
      <c r="AG76" s="22"/>
      <c r="AH76" s="293"/>
      <c r="AI76" s="294"/>
      <c r="AJ76" s="14"/>
      <c r="AK76" s="201"/>
      <c r="AL76" s="202"/>
      <c r="AM76" s="14"/>
      <c r="AN76" s="207"/>
      <c r="AO76" s="208"/>
      <c r="AP76" s="14"/>
      <c r="AQ76" s="490"/>
      <c r="AR76" s="491"/>
      <c r="AS76" s="14"/>
      <c r="AT76" s="168"/>
      <c r="AU76" s="169"/>
      <c r="AV76" s="23"/>
      <c r="AW76" s="24"/>
      <c r="AX76" s="83"/>
      <c r="AY76" s="96"/>
      <c r="AZ76" s="109"/>
      <c r="BA76" s="215"/>
      <c r="BB76" s="216"/>
      <c r="BC76" s="84"/>
      <c r="BD76" s="205"/>
      <c r="BE76" s="206"/>
      <c r="BF76" s="110"/>
      <c r="BG76" s="164"/>
      <c r="BH76" s="165"/>
      <c r="BI76" s="110"/>
      <c r="BJ76" s="164"/>
      <c r="BK76" s="165"/>
      <c r="BL76" s="84"/>
      <c r="BM76" s="164"/>
      <c r="BN76" s="165"/>
      <c r="BO76" s="84"/>
      <c r="BP76" s="164"/>
      <c r="BQ76" s="165"/>
      <c r="BR76" s="84"/>
      <c r="BS76" s="164"/>
      <c r="BT76" s="165"/>
      <c r="BU76" s="84"/>
      <c r="BV76" s="164"/>
      <c r="BW76" s="165"/>
      <c r="BX76" s="91"/>
      <c r="BY76" s="407"/>
      <c r="BZ76" s="408"/>
      <c r="CA76" s="92"/>
    </row>
    <row r="77" spans="1:79" s="69" customFormat="1" ht="11.45" customHeight="1" x14ac:dyDescent="0.25">
      <c r="A77" s="13"/>
      <c r="B77" s="68">
        <v>16</v>
      </c>
      <c r="C77" s="16"/>
      <c r="D77" s="302"/>
      <c r="E77" s="302"/>
      <c r="F77" s="16"/>
      <c r="G77" s="201"/>
      <c r="H77" s="202"/>
      <c r="I77" s="14"/>
      <c r="J77" s="299"/>
      <c r="K77" s="299"/>
      <c r="L77" s="16"/>
      <c r="M77" s="201"/>
      <c r="N77" s="202"/>
      <c r="O77" s="16"/>
      <c r="P77" s="201"/>
      <c r="Q77" s="202"/>
      <c r="R77" s="17"/>
      <c r="S77" s="201"/>
      <c r="T77" s="202"/>
      <c r="U77" s="19"/>
      <c r="V77" s="11"/>
      <c r="W77" s="11"/>
      <c r="X77" s="11"/>
      <c r="Y77" s="13"/>
      <c r="Z77" s="147">
        <v>16</v>
      </c>
      <c r="AA77" s="14"/>
      <c r="AB77" s="337"/>
      <c r="AC77" s="338"/>
      <c r="AD77" s="26"/>
      <c r="AE77" s="319"/>
      <c r="AF77" s="320"/>
      <c r="AG77" s="26"/>
      <c r="AH77" s="321"/>
      <c r="AI77" s="322"/>
      <c r="AJ77" s="14"/>
      <c r="AK77" s="201"/>
      <c r="AL77" s="202"/>
      <c r="AM77" s="14"/>
      <c r="AN77" s="207"/>
      <c r="AO77" s="208"/>
      <c r="AP77" s="14"/>
      <c r="AQ77" s="492"/>
      <c r="AR77" s="493"/>
      <c r="AS77" s="14"/>
      <c r="AT77" s="168"/>
      <c r="AU77" s="169"/>
      <c r="AV77" s="27"/>
      <c r="AW77" s="28"/>
      <c r="AX77" s="83"/>
      <c r="AY77" s="147">
        <v>16</v>
      </c>
      <c r="AZ77" s="84"/>
      <c r="BA77" s="217"/>
      <c r="BB77" s="218"/>
      <c r="BC77" s="84"/>
      <c r="BD77" s="207"/>
      <c r="BE77" s="208"/>
      <c r="BF77" s="84"/>
      <c r="BG77" s="182"/>
      <c r="BH77" s="183"/>
      <c r="BI77" s="84"/>
      <c r="BJ77" s="182"/>
      <c r="BK77" s="183"/>
      <c r="BL77" s="84"/>
      <c r="BM77" s="164"/>
      <c r="BN77" s="165"/>
      <c r="BO77" s="84"/>
      <c r="BP77" s="164"/>
      <c r="BQ77" s="165"/>
      <c r="BR77" s="84"/>
      <c r="BS77" s="164"/>
      <c r="BT77" s="165"/>
      <c r="BU77" s="84"/>
      <c r="BV77" s="164"/>
      <c r="BW77" s="165"/>
      <c r="BX77" s="94"/>
      <c r="BY77" s="403"/>
      <c r="BZ77" s="404"/>
      <c r="CA77" s="95"/>
    </row>
    <row r="78" spans="1:79" s="69" customFormat="1" ht="11.45" customHeight="1" x14ac:dyDescent="0.25">
      <c r="A78" s="13"/>
      <c r="B78" s="68"/>
      <c r="C78" s="16"/>
      <c r="D78" s="316"/>
      <c r="E78" s="316"/>
      <c r="F78" s="16"/>
      <c r="G78" s="201"/>
      <c r="H78" s="202"/>
      <c r="I78" s="14"/>
      <c r="J78" s="315"/>
      <c r="K78" s="315"/>
      <c r="L78" s="16"/>
      <c r="M78" s="201"/>
      <c r="N78" s="202"/>
      <c r="O78" s="16"/>
      <c r="P78" s="201"/>
      <c r="Q78" s="202"/>
      <c r="R78" s="17"/>
      <c r="S78" s="201"/>
      <c r="T78" s="202"/>
      <c r="U78" s="19"/>
      <c r="V78" s="11"/>
      <c r="W78" s="11"/>
      <c r="X78" s="11"/>
      <c r="Y78" s="13"/>
      <c r="Z78" s="147"/>
      <c r="AA78" s="14"/>
      <c r="AB78" s="341" t="str">
        <f>IF(AB77="","",VLOOKUP(AB77,mco_99,2,FALSE))</f>
        <v/>
      </c>
      <c r="AC78" s="342"/>
      <c r="AD78" s="26"/>
      <c r="AE78" s="287" t="str">
        <f>IF(AE77="","",VLOOKUP(AE77,mco_101,2,FALSE))</f>
        <v/>
      </c>
      <c r="AF78" s="169"/>
      <c r="AG78" s="26"/>
      <c r="AH78" s="313" t="str">
        <f>IF(AH77="","",VLOOKUP(AH77,mco_103,2,FALSE))</f>
        <v/>
      </c>
      <c r="AI78" s="314"/>
      <c r="AJ78" s="14"/>
      <c r="AK78" s="201" t="str">
        <f>IF(AK77="","",VLOOKUP(AK77,mco_105,2,FALSE))</f>
        <v/>
      </c>
      <c r="AL78" s="202"/>
      <c r="AM78" s="14"/>
      <c r="AN78" s="205" t="str">
        <f>IF(AN77="","",VLOOKUP(AN77,mco_89,2,FALSE))</f>
        <v/>
      </c>
      <c r="AO78" s="206"/>
      <c r="AP78" s="14"/>
      <c r="AQ78" s="488" t="str">
        <f>IF(AQ77="","",VLOOKUP(AQ77,mco_91,2,FALSE))</f>
        <v/>
      </c>
      <c r="AR78" s="489"/>
      <c r="AS78" s="14"/>
      <c r="AT78" s="168" t="str">
        <f>IF(AT77="","",VLOOKUP(AT77,mco_95,2,FALSE))</f>
        <v/>
      </c>
      <c r="AU78" s="169"/>
      <c r="AV78" s="27"/>
      <c r="AW78" s="28"/>
      <c r="AX78" s="83"/>
      <c r="AY78" s="147"/>
      <c r="AZ78" s="84"/>
      <c r="BA78" s="213" t="str">
        <f>IF(BA77="","",VLOOKUP(BA77,gpme_2,2,FALSE))</f>
        <v/>
      </c>
      <c r="BB78" s="214"/>
      <c r="BC78" s="84"/>
      <c r="BD78" s="207" t="str">
        <f>IF(BD77="","",VLOOKUP(BD77,gpme_1,2,FALSE))</f>
        <v/>
      </c>
      <c r="BE78" s="208"/>
      <c r="BF78" s="84"/>
      <c r="BG78" s="182" t="str">
        <f>IF(BG77="","",VLOOKUP(BG77,ndrc_7,2,FALSE))</f>
        <v/>
      </c>
      <c r="BH78" s="183"/>
      <c r="BI78" s="84"/>
      <c r="BJ78" s="182" t="str">
        <f>IF(BJ77="","",VLOOKUP(BJ77,ndrc_7,2,FALSE))</f>
        <v/>
      </c>
      <c r="BK78" s="183"/>
      <c r="BL78" s="84"/>
      <c r="BM78" s="164" t="str">
        <f>IF(BM77="","",VLOOKUP(BM77,rdc_14,2,FALSE))</f>
        <v/>
      </c>
      <c r="BN78" s="165"/>
      <c r="BO78" s="84"/>
      <c r="BP78" s="164" t="str">
        <f>IF(BP77="","",VLOOKUP(BP77,rdc_14,2,FALSE))</f>
        <v/>
      </c>
      <c r="BQ78" s="165"/>
      <c r="BR78" s="84"/>
      <c r="BS78" s="164" t="str">
        <f>IF(BS77="","",VLOOKUP(BS77,rdc_14,2,FALSE))</f>
        <v/>
      </c>
      <c r="BT78" s="165"/>
      <c r="BU78" s="84"/>
      <c r="BV78" s="164" t="str">
        <f>IF(BV77="","",VLOOKUP(BV77,m_2,2,FALSE))</f>
        <v/>
      </c>
      <c r="BW78" s="165"/>
      <c r="BX78" s="94"/>
      <c r="BY78" s="390"/>
      <c r="BZ78" s="391"/>
      <c r="CA78" s="95"/>
    </row>
    <row r="79" spans="1:79" s="69" customFormat="1" ht="11.45" customHeight="1" thickBot="1" x14ac:dyDescent="0.3">
      <c r="A79" s="13"/>
      <c r="B79" s="68"/>
      <c r="C79" s="16"/>
      <c r="D79" s="282"/>
      <c r="E79" s="282"/>
      <c r="F79" s="16"/>
      <c r="G79" s="201"/>
      <c r="H79" s="202"/>
      <c r="I79" s="14"/>
      <c r="J79" s="279"/>
      <c r="K79" s="280"/>
      <c r="L79" s="16"/>
      <c r="M79" s="201"/>
      <c r="N79" s="202"/>
      <c r="O79" s="16"/>
      <c r="P79" s="203"/>
      <c r="Q79" s="204"/>
      <c r="R79" s="17"/>
      <c r="S79" s="203"/>
      <c r="T79" s="204"/>
      <c r="U79" s="19"/>
      <c r="V79" s="11"/>
      <c r="W79" s="11"/>
      <c r="X79" s="11"/>
      <c r="Y79" s="13"/>
      <c r="Z79" s="147"/>
      <c r="AA79" s="14"/>
      <c r="AB79" s="331"/>
      <c r="AC79" s="332"/>
      <c r="AD79" s="22"/>
      <c r="AE79" s="291"/>
      <c r="AF79" s="292"/>
      <c r="AG79" s="22"/>
      <c r="AH79" s="413"/>
      <c r="AI79" s="414"/>
      <c r="AJ79" s="14"/>
      <c r="AK79" s="168"/>
      <c r="AL79" s="169"/>
      <c r="AM79" s="14"/>
      <c r="AN79" s="209"/>
      <c r="AO79" s="210"/>
      <c r="AP79" s="14"/>
      <c r="AQ79" s="494"/>
      <c r="AR79" s="495"/>
      <c r="AS79" s="14"/>
      <c r="AT79" s="290"/>
      <c r="AU79" s="290"/>
      <c r="AV79" s="23"/>
      <c r="AW79" s="24"/>
      <c r="AX79" s="83"/>
      <c r="AY79" s="147"/>
      <c r="AZ79" s="84"/>
      <c r="BA79" s="219"/>
      <c r="BB79" s="220"/>
      <c r="BC79" s="84"/>
      <c r="BD79" s="288"/>
      <c r="BE79" s="289"/>
      <c r="BF79" s="84"/>
      <c r="BG79" s="184"/>
      <c r="BH79" s="185"/>
      <c r="BI79" s="84"/>
      <c r="BJ79" s="184"/>
      <c r="BK79" s="185"/>
      <c r="BL79" s="84"/>
      <c r="BM79" s="199"/>
      <c r="BN79" s="200"/>
      <c r="BO79" s="84"/>
      <c r="BP79" s="199"/>
      <c r="BQ79" s="200"/>
      <c r="BR79" s="84"/>
      <c r="BS79" s="199"/>
      <c r="BT79" s="200"/>
      <c r="BU79" s="84"/>
      <c r="BV79" s="199"/>
      <c r="BW79" s="200"/>
      <c r="BX79" s="91"/>
      <c r="BY79" s="382"/>
      <c r="BZ79" s="383"/>
      <c r="CA79" s="92"/>
    </row>
    <row r="80" spans="1:79" s="69" customFormat="1" ht="11.45" customHeight="1" x14ac:dyDescent="0.25">
      <c r="A80" s="13"/>
      <c r="B80" s="73"/>
      <c r="C80" s="16"/>
      <c r="D80" s="273"/>
      <c r="E80" s="274"/>
      <c r="F80" s="16"/>
      <c r="G80" s="394"/>
      <c r="H80" s="394"/>
      <c r="I80" s="14"/>
      <c r="J80" s="273"/>
      <c r="K80" s="274"/>
      <c r="L80" s="16"/>
      <c r="M80" s="393"/>
      <c r="N80" s="393"/>
      <c r="O80" s="86"/>
      <c r="P80" s="433"/>
      <c r="Q80" s="434"/>
      <c r="R80" s="17"/>
      <c r="S80" s="273"/>
      <c r="T80" s="274"/>
      <c r="U80" s="19"/>
      <c r="V80" s="11"/>
      <c r="W80" s="11"/>
      <c r="X80" s="11"/>
      <c r="Y80" s="13"/>
      <c r="Z80" s="73"/>
      <c r="AA80" s="14"/>
      <c r="AB80" s="355"/>
      <c r="AC80" s="356"/>
      <c r="AD80" s="26"/>
      <c r="AE80" s="194"/>
      <c r="AF80" s="195"/>
      <c r="AG80" s="26"/>
      <c r="AH80" s="419"/>
      <c r="AI80" s="420"/>
      <c r="AJ80" s="14"/>
      <c r="AK80" s="235"/>
      <c r="AL80" s="236"/>
      <c r="AM80" s="14"/>
      <c r="AN80" s="194"/>
      <c r="AO80" s="195"/>
      <c r="AP80" s="14"/>
      <c r="AQ80" s="194"/>
      <c r="AR80" s="195"/>
      <c r="AS80" s="14"/>
      <c r="AT80" s="174"/>
      <c r="AU80" s="498"/>
      <c r="AV80" s="27"/>
      <c r="AW80" s="28"/>
      <c r="AX80" s="83"/>
      <c r="AY80" s="73"/>
      <c r="AZ80" s="113"/>
      <c r="BA80" s="221"/>
      <c r="BB80" s="222"/>
      <c r="BC80" s="84"/>
      <c r="BD80" s="230"/>
      <c r="BE80" s="231"/>
      <c r="BF80" s="111"/>
      <c r="BG80" s="186"/>
      <c r="BH80" s="187"/>
      <c r="BI80" s="112"/>
      <c r="BJ80" s="186"/>
      <c r="BK80" s="187"/>
      <c r="BL80" s="84"/>
      <c r="BM80" s="166"/>
      <c r="BN80" s="167"/>
      <c r="BO80" s="84"/>
      <c r="BP80" s="166"/>
      <c r="BQ80" s="167"/>
      <c r="BR80" s="84"/>
      <c r="BS80" s="166"/>
      <c r="BT80" s="167"/>
      <c r="BU80" s="84"/>
      <c r="BV80" s="166"/>
      <c r="BW80" s="167"/>
      <c r="BX80" s="94"/>
      <c r="BY80" s="417"/>
      <c r="BZ80" s="418"/>
      <c r="CA80" s="95"/>
    </row>
    <row r="81" spans="1:79" s="69" customFormat="1" ht="11.45" customHeight="1" x14ac:dyDescent="0.25">
      <c r="A81" s="13"/>
      <c r="B81" s="66"/>
      <c r="C81" s="16"/>
      <c r="D81" s="201"/>
      <c r="E81" s="202"/>
      <c r="F81" s="16"/>
      <c r="G81" s="379"/>
      <c r="H81" s="379"/>
      <c r="I81" s="14"/>
      <c r="J81" s="168"/>
      <c r="K81" s="169"/>
      <c r="L81" s="16"/>
      <c r="M81" s="392"/>
      <c r="N81" s="392"/>
      <c r="O81" s="86"/>
      <c r="P81" s="405"/>
      <c r="Q81" s="406"/>
      <c r="R81" s="17"/>
      <c r="S81" s="201"/>
      <c r="T81" s="202"/>
      <c r="U81" s="19"/>
      <c r="V81" s="11"/>
      <c r="W81" s="11"/>
      <c r="X81" s="11"/>
      <c r="Y81" s="13"/>
      <c r="Z81" s="66"/>
      <c r="AA81" s="14"/>
      <c r="AB81" s="341" t="str">
        <f>IF(AB80="","",VLOOKUP(AB80,mco_99,2,FALSE))</f>
        <v/>
      </c>
      <c r="AC81" s="342"/>
      <c r="AD81" s="26"/>
      <c r="AE81" s="205" t="str">
        <f>IF(AE80="","",VLOOKUP(AE80,mco_101,2,FALSE))</f>
        <v/>
      </c>
      <c r="AF81" s="206"/>
      <c r="AG81" s="26"/>
      <c r="AH81" s="313" t="str">
        <f>IF(AH80="","",VLOOKUP(AH80,mco_103,2,FALSE))</f>
        <v/>
      </c>
      <c r="AI81" s="314"/>
      <c r="AJ81" s="14"/>
      <c r="AK81" s="228" t="str">
        <f>IF(AK80="","",VLOOKUP(AK80,mco_105,2,FALSE))</f>
        <v/>
      </c>
      <c r="AL81" s="229"/>
      <c r="AM81" s="14"/>
      <c r="AN81" s="205" t="str">
        <f>IF(AN80="","",VLOOKUP(AN80,mco_89,2,FALSE))</f>
        <v/>
      </c>
      <c r="AO81" s="206"/>
      <c r="AP81" s="14"/>
      <c r="AQ81" s="205" t="str">
        <f>IF(AQ80="","",VLOOKUP(AQ80,mco_91,2,FALSE))</f>
        <v/>
      </c>
      <c r="AR81" s="206"/>
      <c r="AS81" s="14"/>
      <c r="AT81" s="170" t="str">
        <f>IF(AT80="","",VLOOKUP(AT80,mco_95,2,FALSE))</f>
        <v/>
      </c>
      <c r="AU81" s="499"/>
      <c r="AV81" s="27"/>
      <c r="AW81" s="28"/>
      <c r="AX81" s="83"/>
      <c r="AY81" s="66"/>
      <c r="AZ81" s="84"/>
      <c r="BA81" s="213" t="str">
        <f>IF(BA80="","",VLOOKUP(BA80,gpme_2,2,FALSE))</f>
        <v/>
      </c>
      <c r="BB81" s="214"/>
      <c r="BC81" s="84"/>
      <c r="BD81" s="275" t="str">
        <f>IF(BD80="","",VLOOKUP(BD80,gpme_1,2,FALSE))</f>
        <v/>
      </c>
      <c r="BE81" s="276"/>
      <c r="BF81" s="84"/>
      <c r="BG81" s="188" t="str">
        <f>IF(BG80="","",VLOOKUP(BG80,ndrc_7,2,FALSE))</f>
        <v/>
      </c>
      <c r="BH81" s="189"/>
      <c r="BI81" s="84"/>
      <c r="BJ81" s="188" t="str">
        <f>IF(BJ80="","",VLOOKUP(BJ80,ndrc_7,2,FALSE))</f>
        <v/>
      </c>
      <c r="BK81" s="189"/>
      <c r="BL81" s="84"/>
      <c r="BM81" s="267" t="str">
        <f>IF(BM80="","",VLOOKUP(BM80,rdc_14,2,FALSE))</f>
        <v/>
      </c>
      <c r="BN81" s="268"/>
      <c r="BO81" s="84"/>
      <c r="BP81" s="267" t="str">
        <f>IF(BP80="","",VLOOKUP(BP80,rdc_14,2,FALSE))</f>
        <v/>
      </c>
      <c r="BQ81" s="268"/>
      <c r="BR81" s="84"/>
      <c r="BS81" s="267" t="str">
        <f>IF(BS80="","",VLOOKUP(BS80,rdc_14,2,FALSE))</f>
        <v/>
      </c>
      <c r="BT81" s="268"/>
      <c r="BU81" s="84"/>
      <c r="BV81" s="207" t="str">
        <f>IF(BV80="","",VLOOKUP(BV80,m_2,2,FALSE))</f>
        <v/>
      </c>
      <c r="BW81" s="208"/>
      <c r="BX81" s="94"/>
      <c r="BY81" s="390"/>
      <c r="BZ81" s="391"/>
      <c r="CA81" s="95"/>
    </row>
    <row r="82" spans="1:79" customFormat="1" ht="11.45" customHeight="1" x14ac:dyDescent="0.25">
      <c r="A82" s="13"/>
      <c r="B82" s="72" t="s">
        <v>157</v>
      </c>
      <c r="C82" s="16"/>
      <c r="D82" s="226"/>
      <c r="E82" s="226"/>
      <c r="F82" s="16"/>
      <c r="G82" s="387"/>
      <c r="H82" s="387"/>
      <c r="I82" s="14"/>
      <c r="J82" s="241"/>
      <c r="K82" s="241"/>
      <c r="L82" s="16"/>
      <c r="M82" s="386"/>
      <c r="N82" s="386"/>
      <c r="O82" s="86"/>
      <c r="P82" s="405"/>
      <c r="Q82" s="406"/>
      <c r="R82" s="17"/>
      <c r="S82" s="201"/>
      <c r="T82" s="202"/>
      <c r="U82" s="19"/>
      <c r="V82" s="11"/>
      <c r="W82" s="11"/>
      <c r="X82" s="11"/>
      <c r="Y82" s="13"/>
      <c r="Z82" s="72" t="s">
        <v>157</v>
      </c>
      <c r="AA82" s="14"/>
      <c r="AB82" s="345"/>
      <c r="AC82" s="346"/>
      <c r="AD82" s="22"/>
      <c r="AE82" s="207"/>
      <c r="AF82" s="208"/>
      <c r="AG82" s="22"/>
      <c r="AH82" s="293"/>
      <c r="AI82" s="294"/>
      <c r="AJ82" s="14"/>
      <c r="AK82" s="237"/>
      <c r="AL82" s="238"/>
      <c r="AM82" s="14"/>
      <c r="AN82" s="207"/>
      <c r="AO82" s="208"/>
      <c r="AP82" s="14"/>
      <c r="AQ82" s="207"/>
      <c r="AR82" s="208"/>
      <c r="AS82" s="14"/>
      <c r="AT82" s="176"/>
      <c r="AU82" s="177"/>
      <c r="AV82" s="23"/>
      <c r="AW82" s="24"/>
      <c r="AX82" s="83"/>
      <c r="AY82" s="72" t="s">
        <v>157</v>
      </c>
      <c r="AZ82" s="84"/>
      <c r="BA82" s="215"/>
      <c r="BB82" s="216"/>
      <c r="BC82" s="84"/>
      <c r="BD82" s="283"/>
      <c r="BE82" s="284"/>
      <c r="BF82" s="84"/>
      <c r="BG82" s="190"/>
      <c r="BH82" s="191"/>
      <c r="BI82" s="84"/>
      <c r="BJ82" s="190"/>
      <c r="BK82" s="191"/>
      <c r="BL82" s="84"/>
      <c r="BM82" s="374"/>
      <c r="BN82" s="375"/>
      <c r="BO82" s="84"/>
      <c r="BP82" s="374"/>
      <c r="BQ82" s="375"/>
      <c r="BR82" s="84"/>
      <c r="BS82" s="374"/>
      <c r="BT82" s="375"/>
      <c r="BU82" s="84"/>
      <c r="BV82" s="205"/>
      <c r="BW82" s="206"/>
      <c r="BX82" s="91"/>
      <c r="BY82" s="407"/>
      <c r="BZ82" s="408"/>
      <c r="CA82" s="92"/>
    </row>
    <row r="83" spans="1:79" customFormat="1" ht="11.45" customHeight="1" x14ac:dyDescent="0.25">
      <c r="A83" s="13"/>
      <c r="B83" s="66">
        <v>17</v>
      </c>
      <c r="C83" s="16"/>
      <c r="D83" s="226"/>
      <c r="E83" s="226"/>
      <c r="F83" s="16"/>
      <c r="G83" s="385"/>
      <c r="H83" s="385"/>
      <c r="I83" s="14"/>
      <c r="J83" s="241"/>
      <c r="K83" s="241"/>
      <c r="L83" s="16"/>
      <c r="M83" s="384"/>
      <c r="N83" s="384"/>
      <c r="O83" s="86"/>
      <c r="P83" s="405"/>
      <c r="Q83" s="406"/>
      <c r="R83" s="17"/>
      <c r="S83" s="201"/>
      <c r="T83" s="202"/>
      <c r="U83" s="19"/>
      <c r="V83" s="11"/>
      <c r="W83" s="11"/>
      <c r="X83" s="11"/>
      <c r="Y83" s="13"/>
      <c r="Z83" s="66">
        <v>17</v>
      </c>
      <c r="AA83" s="14"/>
      <c r="AB83" s="337"/>
      <c r="AC83" s="338"/>
      <c r="AD83" s="26"/>
      <c r="AE83" s="207"/>
      <c r="AF83" s="208"/>
      <c r="AG83" s="26"/>
      <c r="AH83" s="306"/>
      <c r="AI83" s="307"/>
      <c r="AJ83" s="14"/>
      <c r="AK83" s="239"/>
      <c r="AL83" s="240"/>
      <c r="AM83" s="14"/>
      <c r="AN83" s="207"/>
      <c r="AO83" s="208"/>
      <c r="AP83" s="14"/>
      <c r="AQ83" s="207"/>
      <c r="AR83" s="208"/>
      <c r="AS83" s="14"/>
      <c r="AT83" s="178"/>
      <c r="AU83" s="500"/>
      <c r="AV83" s="27"/>
      <c r="AW83" s="28"/>
      <c r="AX83" s="83"/>
      <c r="AY83" s="66">
        <v>17</v>
      </c>
      <c r="AZ83" s="84"/>
      <c r="BA83" s="217"/>
      <c r="BB83" s="218"/>
      <c r="BC83" s="84"/>
      <c r="BD83" s="285"/>
      <c r="BE83" s="286"/>
      <c r="BF83" s="84"/>
      <c r="BG83" s="188"/>
      <c r="BH83" s="189"/>
      <c r="BI83" s="84"/>
      <c r="BJ83" s="188"/>
      <c r="BK83" s="189"/>
      <c r="BL83" s="84"/>
      <c r="BM83" s="207"/>
      <c r="BN83" s="208"/>
      <c r="BO83" s="84"/>
      <c r="BP83" s="207"/>
      <c r="BQ83" s="208"/>
      <c r="BR83" s="84"/>
      <c r="BS83" s="207"/>
      <c r="BT83" s="208"/>
      <c r="BU83" s="84"/>
      <c r="BV83" s="207"/>
      <c r="BW83" s="208"/>
      <c r="BX83" s="94"/>
      <c r="BY83" s="403"/>
      <c r="BZ83" s="404"/>
      <c r="CA83" s="95"/>
    </row>
    <row r="84" spans="1:79" customFormat="1" ht="11.45" customHeight="1" x14ac:dyDescent="0.25">
      <c r="A84" s="13"/>
      <c r="B84" s="66"/>
      <c r="C84" s="16"/>
      <c r="D84" s="226"/>
      <c r="E84" s="226"/>
      <c r="F84" s="16"/>
      <c r="G84" s="379"/>
      <c r="H84" s="379"/>
      <c r="I84" s="14"/>
      <c r="J84" s="241"/>
      <c r="K84" s="241"/>
      <c r="L84" s="16"/>
      <c r="M84" s="392"/>
      <c r="N84" s="392"/>
      <c r="O84" s="86"/>
      <c r="P84" s="405"/>
      <c r="Q84" s="406"/>
      <c r="R84" s="17"/>
      <c r="S84" s="201"/>
      <c r="T84" s="202"/>
      <c r="U84" s="19"/>
      <c r="V84" s="11"/>
      <c r="W84" s="11"/>
      <c r="X84" s="11"/>
      <c r="Y84" s="13"/>
      <c r="Z84" s="66"/>
      <c r="AA84" s="14"/>
      <c r="AB84" s="341" t="str">
        <f>IF(AB83="","",VLOOKUP(AB83,mco_99,2,FALSE))</f>
        <v/>
      </c>
      <c r="AC84" s="342"/>
      <c r="AD84" s="26"/>
      <c r="AE84" s="205" t="str">
        <f>IF(AE83="","",VLOOKUP(AE83,mco_101,2,FALSE))</f>
        <v/>
      </c>
      <c r="AF84" s="206"/>
      <c r="AG84" s="26"/>
      <c r="AH84" s="313" t="str">
        <f>IF(AH83="","",VLOOKUP(AH83,mco_103,2,FALSE))</f>
        <v/>
      </c>
      <c r="AI84" s="314"/>
      <c r="AJ84" s="14"/>
      <c r="AK84" s="228" t="str">
        <f>IF(AK83="","",VLOOKUP(AK83,mco_105,2,FALSE))</f>
        <v/>
      </c>
      <c r="AL84" s="229"/>
      <c r="AM84" s="14"/>
      <c r="AN84" s="205" t="str">
        <f>IF(AN83="","",VLOOKUP(AN83,mco_89,2,FALSE))</f>
        <v/>
      </c>
      <c r="AO84" s="206"/>
      <c r="AP84" s="14"/>
      <c r="AQ84" s="205" t="str">
        <f>IF(AQ83="","",VLOOKUP(AQ83,mco_91,2,FALSE))</f>
        <v/>
      </c>
      <c r="AR84" s="206"/>
      <c r="AS84" s="14"/>
      <c r="AT84" s="170" t="str">
        <f>IF(AT83="","",VLOOKUP(AT83,mco_95,2,FALSE))</f>
        <v/>
      </c>
      <c r="AU84" s="499"/>
      <c r="AV84" s="27"/>
      <c r="AW84" s="28"/>
      <c r="AX84" s="83"/>
      <c r="AY84" s="66"/>
      <c r="AZ84" s="84"/>
      <c r="BA84" s="213" t="str">
        <f>IF(BA83="","",VLOOKUP(BA83,gpme_2,2,FALSE))</f>
        <v/>
      </c>
      <c r="BB84" s="214"/>
      <c r="BC84" s="84"/>
      <c r="BD84" s="275" t="str">
        <f>IF(BD83="","",VLOOKUP(BD83,gpme_1,2,FALSE))</f>
        <v/>
      </c>
      <c r="BE84" s="276"/>
      <c r="BF84" s="84"/>
      <c r="BG84" s="188" t="str">
        <f>IF(BG83="","",VLOOKUP(BG83,ndrc_7,2,FALSE))</f>
        <v/>
      </c>
      <c r="BH84" s="189"/>
      <c r="BI84" s="84"/>
      <c r="BJ84" s="188" t="str">
        <f>IF(BJ83="","",VLOOKUP(BJ83,ndrc_7,2,FALSE))</f>
        <v/>
      </c>
      <c r="BK84" s="189"/>
      <c r="BL84" s="84"/>
      <c r="BM84" s="267" t="str">
        <f>IF(BM83="","",VLOOKUP(BM83,rdc_14,2,FALSE))</f>
        <v/>
      </c>
      <c r="BN84" s="268"/>
      <c r="BO84" s="84"/>
      <c r="BP84" s="267" t="str">
        <f>IF(BP83="","",VLOOKUP(BP83,rdc_14,2,FALSE))</f>
        <v/>
      </c>
      <c r="BQ84" s="268"/>
      <c r="BR84" s="84"/>
      <c r="BS84" s="267" t="str">
        <f>IF(BS83="","",VLOOKUP(BS83,rdc_14,2,FALSE))</f>
        <v/>
      </c>
      <c r="BT84" s="268"/>
      <c r="BU84" s="84"/>
      <c r="BV84" s="267"/>
      <c r="BW84" s="268"/>
      <c r="BX84" s="94"/>
      <c r="BY84" s="390"/>
      <c r="BZ84" s="391"/>
      <c r="CA84" s="95"/>
    </row>
    <row r="85" spans="1:79" customFormat="1" ht="11.45" customHeight="1" thickBot="1" x14ac:dyDescent="0.3">
      <c r="A85" s="13"/>
      <c r="B85" s="67"/>
      <c r="C85" s="16"/>
      <c r="D85" s="226"/>
      <c r="E85" s="226"/>
      <c r="F85" s="16"/>
      <c r="G85" s="377"/>
      <c r="H85" s="377"/>
      <c r="I85" s="14"/>
      <c r="J85" s="241"/>
      <c r="K85" s="241"/>
      <c r="L85" s="16"/>
      <c r="M85" s="376"/>
      <c r="N85" s="376"/>
      <c r="O85" s="86"/>
      <c r="P85" s="397"/>
      <c r="Q85" s="398"/>
      <c r="R85" s="17"/>
      <c r="S85" s="203"/>
      <c r="T85" s="204"/>
      <c r="U85" s="19"/>
      <c r="V85" s="11"/>
      <c r="W85" s="11"/>
      <c r="X85" s="11"/>
      <c r="Y85" s="13"/>
      <c r="Z85" s="67"/>
      <c r="AA85" s="14"/>
      <c r="AB85" s="331"/>
      <c r="AC85" s="332"/>
      <c r="AD85" s="22"/>
      <c r="AE85" s="209"/>
      <c r="AF85" s="210"/>
      <c r="AG85" s="22"/>
      <c r="AH85" s="293"/>
      <c r="AI85" s="294"/>
      <c r="AJ85" s="14"/>
      <c r="AK85" s="223"/>
      <c r="AL85" s="224"/>
      <c r="AM85" s="14"/>
      <c r="AN85" s="209"/>
      <c r="AO85" s="210"/>
      <c r="AP85" s="14"/>
      <c r="AQ85" s="209"/>
      <c r="AR85" s="210"/>
      <c r="AS85" s="14"/>
      <c r="AT85" s="501"/>
      <c r="AU85" s="502"/>
      <c r="AV85" s="23"/>
      <c r="AW85" s="24"/>
      <c r="AX85" s="83"/>
      <c r="AY85" s="67"/>
      <c r="AZ85" s="101"/>
      <c r="BA85" s="219"/>
      <c r="BB85" s="220"/>
      <c r="BC85" s="84"/>
      <c r="BD85" s="277"/>
      <c r="BE85" s="278"/>
      <c r="BF85" s="101"/>
      <c r="BG85" s="431"/>
      <c r="BH85" s="432"/>
      <c r="BI85" s="101"/>
      <c r="BJ85" s="431"/>
      <c r="BK85" s="432"/>
      <c r="BL85" s="84"/>
      <c r="BM85" s="429"/>
      <c r="BN85" s="430"/>
      <c r="BO85" s="84"/>
      <c r="BP85" s="429"/>
      <c r="BQ85" s="430"/>
      <c r="BR85" s="84"/>
      <c r="BS85" s="429"/>
      <c r="BT85" s="430"/>
      <c r="BU85" s="84"/>
      <c r="BV85" s="269"/>
      <c r="BW85" s="270"/>
      <c r="BX85" s="91"/>
      <c r="BY85" s="382"/>
      <c r="BZ85" s="383"/>
      <c r="CA85" s="92"/>
    </row>
    <row r="86" spans="1:79" customFormat="1" ht="11.45" customHeight="1" x14ac:dyDescent="0.25">
      <c r="A86" s="13"/>
      <c r="B86" s="68"/>
      <c r="C86" s="16"/>
      <c r="D86" s="225"/>
      <c r="E86" s="225"/>
      <c r="F86" s="16"/>
      <c r="G86" s="394"/>
      <c r="H86" s="394"/>
      <c r="I86" s="14"/>
      <c r="J86" s="194"/>
      <c r="K86" s="195"/>
      <c r="L86" s="16"/>
      <c r="M86" s="393"/>
      <c r="N86" s="393"/>
      <c r="O86" s="16"/>
      <c r="P86" s="273"/>
      <c r="Q86" s="274"/>
      <c r="R86" s="17"/>
      <c r="S86" s="194"/>
      <c r="T86" s="195"/>
      <c r="U86" s="19"/>
      <c r="V86" s="11"/>
      <c r="W86" s="11"/>
      <c r="X86" s="11"/>
      <c r="Y86" s="13"/>
      <c r="Z86" s="147"/>
      <c r="AA86" s="14"/>
      <c r="AB86" s="355"/>
      <c r="AC86" s="356"/>
      <c r="AD86" s="26"/>
      <c r="AE86" s="194"/>
      <c r="AF86" s="195"/>
      <c r="AG86" s="26"/>
      <c r="AH86" s="419"/>
      <c r="AI86" s="420"/>
      <c r="AJ86" s="14"/>
      <c r="AK86" s="235"/>
      <c r="AL86" s="236"/>
      <c r="AM86" s="14"/>
      <c r="AN86" s="194"/>
      <c r="AO86" s="195"/>
      <c r="AP86" s="14"/>
      <c r="AQ86" s="194"/>
      <c r="AR86" s="195"/>
      <c r="AS86" s="14"/>
      <c r="AT86" s="174"/>
      <c r="AU86" s="498"/>
      <c r="AV86" s="27"/>
      <c r="AW86" s="28"/>
      <c r="AX86" s="83"/>
      <c r="AY86" s="147"/>
      <c r="AZ86" s="84"/>
      <c r="BA86" s="221"/>
      <c r="BB86" s="222"/>
      <c r="BC86" s="84"/>
      <c r="BD86" s="230"/>
      <c r="BE86" s="231"/>
      <c r="BF86" s="84"/>
      <c r="BG86" s="192"/>
      <c r="BH86" s="193"/>
      <c r="BI86" s="84"/>
      <c r="BJ86" s="192"/>
      <c r="BK86" s="193"/>
      <c r="BL86" s="84"/>
      <c r="BM86" s="399"/>
      <c r="BN86" s="400"/>
      <c r="BO86" s="84"/>
      <c r="BP86" s="399"/>
      <c r="BQ86" s="400"/>
      <c r="BR86" s="84"/>
      <c r="BS86" s="399"/>
      <c r="BT86" s="400"/>
      <c r="BU86" s="84"/>
      <c r="BV86" s="265"/>
      <c r="BW86" s="266"/>
      <c r="BX86" s="94"/>
      <c r="BY86" s="403"/>
      <c r="BZ86" s="404"/>
      <c r="CA86" s="95"/>
    </row>
    <row r="87" spans="1:79" customFormat="1" ht="11.45" customHeight="1" x14ac:dyDescent="0.25">
      <c r="A87" s="13"/>
      <c r="B87" s="29" t="s">
        <v>7</v>
      </c>
      <c r="C87" s="16"/>
      <c r="D87" s="226"/>
      <c r="E87" s="226"/>
      <c r="F87" s="16"/>
      <c r="G87" s="379"/>
      <c r="H87" s="379"/>
      <c r="I87" s="14"/>
      <c r="J87" s="201"/>
      <c r="K87" s="202"/>
      <c r="L87" s="16"/>
      <c r="M87" s="392"/>
      <c r="N87" s="392"/>
      <c r="O87" s="16"/>
      <c r="P87" s="201"/>
      <c r="Q87" s="202"/>
      <c r="R87" s="17"/>
      <c r="S87" s="201"/>
      <c r="T87" s="202"/>
      <c r="U87" s="19"/>
      <c r="V87" s="11"/>
      <c r="W87" s="11"/>
      <c r="X87" s="11"/>
      <c r="Y87" s="13"/>
      <c r="Z87" s="96" t="s">
        <v>7</v>
      </c>
      <c r="AA87" s="14"/>
      <c r="AB87" s="341" t="str">
        <f>IF(AB86="","",VLOOKUP(AB86,mco_99,2,FALSE))</f>
        <v/>
      </c>
      <c r="AC87" s="342"/>
      <c r="AD87" s="22"/>
      <c r="AE87" s="205" t="str">
        <f>IF(AE86="","",VLOOKUP(AE86,mco_101,2,FALSE))</f>
        <v/>
      </c>
      <c r="AF87" s="206"/>
      <c r="AG87" s="22"/>
      <c r="AH87" s="313" t="str">
        <f>IF(AH86="","",VLOOKUP(AH86,mco_103,2,FALSE))</f>
        <v/>
      </c>
      <c r="AI87" s="314"/>
      <c r="AJ87" s="14"/>
      <c r="AK87" s="228" t="str">
        <f>IF(AK86="","",VLOOKUP(AK86,mco_105,2,FALSE))</f>
        <v/>
      </c>
      <c r="AL87" s="229"/>
      <c r="AM87" s="14"/>
      <c r="AN87" s="205" t="str">
        <f>IF(AN86="","",VLOOKUP(AN86,mco_89,2,FALSE))</f>
        <v/>
      </c>
      <c r="AO87" s="206"/>
      <c r="AP87" s="14"/>
      <c r="AQ87" s="205" t="str">
        <f>IF(AQ86="","",VLOOKUP(AQ86,mco_91,2,FALSE))</f>
        <v/>
      </c>
      <c r="AR87" s="206"/>
      <c r="AS87" s="14"/>
      <c r="AT87" s="170" t="str">
        <f>IF(AT86="","",VLOOKUP(AT86,mco_95,2,FALSE))</f>
        <v/>
      </c>
      <c r="AU87" s="499"/>
      <c r="AV87" s="23"/>
      <c r="AW87" s="24"/>
      <c r="AX87" s="83"/>
      <c r="AY87" s="96" t="s">
        <v>7</v>
      </c>
      <c r="AZ87" s="84"/>
      <c r="BA87" s="213" t="str">
        <f>IF(BA86="","",VLOOKUP(BA86,gpme_2,2,FALSE))</f>
        <v/>
      </c>
      <c r="BB87" s="214"/>
      <c r="BC87" s="84"/>
      <c r="BD87" s="275" t="str">
        <f>IF(BD86="","",VLOOKUP(BD86,gpme_1,2,FALSE))</f>
        <v/>
      </c>
      <c r="BE87" s="276"/>
      <c r="BF87" s="84"/>
      <c r="BG87" s="190" t="str">
        <f>IF(BG86="","",VLOOKUP(BG86,ndrc_7,2,FALSE))</f>
        <v/>
      </c>
      <c r="BH87" s="191"/>
      <c r="BI87" s="84"/>
      <c r="BJ87" s="190" t="str">
        <f>IF(BJ86="","",VLOOKUP(BJ86,ndrc_7,2,FALSE))</f>
        <v/>
      </c>
      <c r="BK87" s="191"/>
      <c r="BL87" s="84"/>
      <c r="BM87" s="374" t="str">
        <f>IF(BM86="","",VLOOKUP(BM86,rdc_14,2,FALSE))</f>
        <v/>
      </c>
      <c r="BN87" s="375"/>
      <c r="BO87" s="84"/>
      <c r="BP87" s="374" t="str">
        <f>IF(BP86="","",VLOOKUP(BP86,rdc_14,2,FALSE))</f>
        <v/>
      </c>
      <c r="BQ87" s="375"/>
      <c r="BR87" s="84"/>
      <c r="BS87" s="374" t="str">
        <f>IF(BS86="","",VLOOKUP(BS86,rdc_14,2,FALSE))</f>
        <v/>
      </c>
      <c r="BT87" s="375"/>
      <c r="BU87" s="84"/>
      <c r="BV87" s="168" t="str">
        <f>IF(BV86="","",VLOOKUP(BV86,m_2,2,FALSE))</f>
        <v/>
      </c>
      <c r="BW87" s="169"/>
      <c r="BX87" s="91"/>
      <c r="BY87" s="390"/>
      <c r="BZ87" s="391"/>
      <c r="CA87" s="92"/>
    </row>
    <row r="88" spans="1:79" customFormat="1" ht="14.45" customHeight="1" thickBot="1" x14ac:dyDescent="0.3">
      <c r="A88" s="13"/>
      <c r="B88" s="368">
        <v>18</v>
      </c>
      <c r="C88" s="16"/>
      <c r="D88" s="226"/>
      <c r="E88" s="226"/>
      <c r="F88" s="16"/>
      <c r="G88" s="387"/>
      <c r="H88" s="387"/>
      <c r="I88" s="14"/>
      <c r="J88" s="201"/>
      <c r="K88" s="202"/>
      <c r="L88" s="16"/>
      <c r="M88" s="386"/>
      <c r="N88" s="386"/>
      <c r="O88" s="16"/>
      <c r="P88" s="201"/>
      <c r="Q88" s="202"/>
      <c r="R88" s="17"/>
      <c r="S88" s="201"/>
      <c r="T88" s="202"/>
      <c r="U88" s="19"/>
      <c r="V88" s="11"/>
      <c r="W88" s="11"/>
      <c r="X88" s="11"/>
      <c r="Y88" s="13"/>
      <c r="Z88" s="368">
        <v>18</v>
      </c>
      <c r="AA88" s="14"/>
      <c r="AB88" s="345"/>
      <c r="AC88" s="346"/>
      <c r="AD88" s="26"/>
      <c r="AE88" s="207"/>
      <c r="AF88" s="208"/>
      <c r="AG88" s="26"/>
      <c r="AH88" s="293"/>
      <c r="AI88" s="294"/>
      <c r="AJ88" s="14"/>
      <c r="AK88" s="237"/>
      <c r="AL88" s="238"/>
      <c r="AM88" s="14"/>
      <c r="AN88" s="207"/>
      <c r="AO88" s="208"/>
      <c r="AP88" s="14"/>
      <c r="AQ88" s="207"/>
      <c r="AR88" s="208"/>
      <c r="AS88" s="14"/>
      <c r="AT88" s="176"/>
      <c r="AU88" s="177"/>
      <c r="AV88" s="27"/>
      <c r="AW88" s="28"/>
      <c r="AX88" s="83"/>
      <c r="AY88" s="368">
        <v>18</v>
      </c>
      <c r="AZ88" s="84"/>
      <c r="BA88" s="215"/>
      <c r="BB88" s="216"/>
      <c r="BC88" s="84"/>
      <c r="BD88" s="283"/>
      <c r="BE88" s="284"/>
      <c r="BF88" s="84"/>
      <c r="BG88" s="188"/>
      <c r="BH88" s="189"/>
      <c r="BI88" s="84"/>
      <c r="BJ88" s="188"/>
      <c r="BK88" s="189"/>
      <c r="BL88" s="84"/>
      <c r="BM88" s="207"/>
      <c r="BN88" s="208"/>
      <c r="BO88" s="84"/>
      <c r="BP88" s="207"/>
      <c r="BQ88" s="208"/>
      <c r="BR88" s="84"/>
      <c r="BS88" s="207"/>
      <c r="BT88" s="208"/>
      <c r="BU88" s="84"/>
      <c r="BV88" s="168"/>
      <c r="BW88" s="169"/>
      <c r="BX88" s="94"/>
      <c r="BY88" s="382"/>
      <c r="BZ88" s="383"/>
      <c r="CA88" s="95"/>
    </row>
    <row r="89" spans="1:79" customFormat="1" ht="11.25" customHeight="1" x14ac:dyDescent="0.25">
      <c r="A89" s="13"/>
      <c r="B89" s="368"/>
      <c r="C89" s="16"/>
      <c r="D89" s="226"/>
      <c r="E89" s="226"/>
      <c r="F89" s="16"/>
      <c r="G89" s="385"/>
      <c r="H89" s="385"/>
      <c r="I89" s="14"/>
      <c r="J89" s="207"/>
      <c r="K89" s="208"/>
      <c r="L89" s="16"/>
      <c r="M89" s="384"/>
      <c r="N89" s="384"/>
      <c r="O89" s="16"/>
      <c r="P89" s="201"/>
      <c r="Q89" s="202"/>
      <c r="R89" s="17"/>
      <c r="S89" s="201"/>
      <c r="T89" s="202"/>
      <c r="U89" s="19"/>
      <c r="V89" s="11"/>
      <c r="W89" s="11"/>
      <c r="X89" s="11"/>
      <c r="Y89" s="13"/>
      <c r="Z89" s="368"/>
      <c r="AA89" s="14"/>
      <c r="AB89" s="207"/>
      <c r="AC89" s="208"/>
      <c r="AD89" s="26"/>
      <c r="AE89" s="207"/>
      <c r="AF89" s="208"/>
      <c r="AG89" s="26"/>
      <c r="AH89" s="226"/>
      <c r="AI89" s="226"/>
      <c r="AJ89" s="14"/>
      <c r="AK89" s="239"/>
      <c r="AL89" s="240"/>
      <c r="AM89" s="14"/>
      <c r="AN89" s="207"/>
      <c r="AO89" s="208"/>
      <c r="AP89" s="14"/>
      <c r="AQ89" s="207"/>
      <c r="AR89" s="208"/>
      <c r="AS89" s="14"/>
      <c r="AT89" s="178"/>
      <c r="AU89" s="500"/>
      <c r="AV89" s="27"/>
      <c r="AW89" s="28"/>
      <c r="AX89" s="83"/>
      <c r="AY89" s="368"/>
      <c r="AZ89" s="84"/>
      <c r="BA89" s="232"/>
      <c r="BB89" s="233"/>
      <c r="BC89" s="84"/>
      <c r="BD89" s="285"/>
      <c r="BE89" s="286"/>
      <c r="BF89" s="84"/>
      <c r="BG89" s="188"/>
      <c r="BH89" s="189"/>
      <c r="BI89" s="84"/>
      <c r="BJ89" s="188"/>
      <c r="BK89" s="189"/>
      <c r="BL89" s="84"/>
      <c r="BM89" s="267"/>
      <c r="BN89" s="268"/>
      <c r="BO89" s="84"/>
      <c r="BP89" s="168"/>
      <c r="BQ89" s="169"/>
      <c r="BR89" s="84"/>
      <c r="BS89" s="168"/>
      <c r="BT89" s="169"/>
      <c r="BU89" s="84"/>
      <c r="BV89" s="168"/>
      <c r="BW89" s="169"/>
      <c r="BX89" s="94"/>
      <c r="BY89" s="168"/>
      <c r="BZ89" s="169"/>
      <c r="CA89" s="95"/>
    </row>
    <row r="90" spans="1:79" customFormat="1" ht="11.45" customHeight="1" x14ac:dyDescent="0.25">
      <c r="A90" s="13"/>
      <c r="B90" s="30"/>
      <c r="C90" s="16"/>
      <c r="D90" s="226"/>
      <c r="E90" s="226"/>
      <c r="F90" s="16"/>
      <c r="G90" s="379"/>
      <c r="H90" s="379"/>
      <c r="I90" s="14"/>
      <c r="J90" s="201"/>
      <c r="K90" s="202"/>
      <c r="L90" s="16"/>
      <c r="M90" s="378"/>
      <c r="N90" s="378"/>
      <c r="O90" s="16"/>
      <c r="P90" s="201"/>
      <c r="Q90" s="202"/>
      <c r="R90" s="17"/>
      <c r="S90" s="201"/>
      <c r="T90" s="202"/>
      <c r="U90" s="19"/>
      <c r="V90" s="11"/>
      <c r="W90" s="11"/>
      <c r="X90" s="11"/>
      <c r="Y90" s="13"/>
      <c r="Z90" s="147"/>
      <c r="AA90" s="14"/>
      <c r="AB90" s="205" t="str">
        <f>IF(AB89="","",VLOOKUP(AB89,mco_99,2,FALSE))</f>
        <v/>
      </c>
      <c r="AC90" s="206"/>
      <c r="AD90" s="22"/>
      <c r="AE90" s="205" t="str">
        <f>IF(AE89="","",VLOOKUP(AE89,mco_101,2,FALSE))</f>
        <v/>
      </c>
      <c r="AF90" s="206"/>
      <c r="AG90" s="22"/>
      <c r="AH90" s="226" t="str">
        <f>IF(AH89="","",VLOOKUP(AH89,mco_103,2,FALSE))</f>
        <v/>
      </c>
      <c r="AI90" s="226"/>
      <c r="AJ90" s="14"/>
      <c r="AK90" s="228" t="str">
        <f>IF(AK89="","",VLOOKUP(AK89,mco_105,2,FALSE))</f>
        <v/>
      </c>
      <c r="AL90" s="229"/>
      <c r="AM90" s="14"/>
      <c r="AN90" s="205" t="str">
        <f>IF(AN89="","",VLOOKUP(AN89,mco_89,2,FALSE))</f>
        <v/>
      </c>
      <c r="AO90" s="206"/>
      <c r="AP90" s="14"/>
      <c r="AQ90" s="205" t="str">
        <f>IF(AQ89="","",VLOOKUP(AQ89,mco_91,2,FALSE))</f>
        <v/>
      </c>
      <c r="AR90" s="206"/>
      <c r="AS90" s="14"/>
      <c r="AT90" s="170" t="str">
        <f>IF(AT89="","",VLOOKUP(AT89,mco_95,2,FALSE))</f>
        <v/>
      </c>
      <c r="AU90" s="499"/>
      <c r="AV90" s="23"/>
      <c r="AW90" s="24"/>
      <c r="AX90" s="83"/>
      <c r="AY90" s="147"/>
      <c r="AZ90" s="84"/>
      <c r="BA90" s="190" t="str">
        <f>IF(BA89="","",VLOOKUP(BA89,ndrc_5,2,FALSE))</f>
        <v/>
      </c>
      <c r="BB90" s="191"/>
      <c r="BC90" s="84"/>
      <c r="BD90" s="275" t="str">
        <f>IF(BD89="","",VLOOKUP(BD89,gpme_1,2,FALSE))</f>
        <v/>
      </c>
      <c r="BE90" s="276"/>
      <c r="BF90" s="84"/>
      <c r="BG90" s="190" t="str">
        <f>IF(BG89="","",VLOOKUP(BG89,ndrc_7,2,FALSE))</f>
        <v/>
      </c>
      <c r="BH90" s="191"/>
      <c r="BI90" s="84"/>
      <c r="BJ90" s="190" t="str">
        <f>IF(BJ89="","",VLOOKUP(BJ89,ndrc_7,2,FALSE))</f>
        <v/>
      </c>
      <c r="BK90" s="191"/>
      <c r="BL90" s="84"/>
      <c r="BM90" s="374" t="str">
        <f>IF(BM89="","",VLOOKUP(BM89,rdc_14,2,FALSE))</f>
        <v/>
      </c>
      <c r="BN90" s="375"/>
      <c r="BO90" s="84"/>
      <c r="BP90" s="168" t="str">
        <f>IF(BP89="","",VLOOKUP(BP89,rdc_16,2,FALSE))</f>
        <v/>
      </c>
      <c r="BQ90" s="169"/>
      <c r="BR90" s="84"/>
      <c r="BS90" s="168" t="str">
        <f>IF(BS89="","",VLOOKUP(BS89,rdc_16,2,FALSE))</f>
        <v/>
      </c>
      <c r="BT90" s="169"/>
      <c r="BU90" s="84"/>
      <c r="BV90" s="168" t="str">
        <f>IF(BV89="","",VLOOKUP(BV89,m_2,2,FALSE))</f>
        <v/>
      </c>
      <c r="BW90" s="169"/>
      <c r="BX90" s="91"/>
      <c r="BY90" s="168" t="str">
        <f>IF(BY89="","",VLOOKUP(BY89,m_2,2,FALSE))</f>
        <v/>
      </c>
      <c r="BZ90" s="169"/>
      <c r="CA90" s="92"/>
    </row>
    <row r="91" spans="1:79" customFormat="1" ht="11.45" customHeight="1" thickBot="1" x14ac:dyDescent="0.3">
      <c r="A91" s="13"/>
      <c r="B91" s="32"/>
      <c r="C91" s="16"/>
      <c r="D91" s="281"/>
      <c r="E91" s="281"/>
      <c r="F91" s="16"/>
      <c r="G91" s="377"/>
      <c r="H91" s="377"/>
      <c r="I91" s="14"/>
      <c r="J91" s="203"/>
      <c r="K91" s="204"/>
      <c r="L91" s="16"/>
      <c r="M91" s="376"/>
      <c r="N91" s="376"/>
      <c r="O91" s="16"/>
      <c r="P91" s="203"/>
      <c r="Q91" s="204"/>
      <c r="R91" s="17"/>
      <c r="S91" s="203"/>
      <c r="T91" s="204"/>
      <c r="U91" s="19"/>
      <c r="V91" s="11"/>
      <c r="W91" s="11"/>
      <c r="X91" s="11"/>
      <c r="Y91" s="13"/>
      <c r="Z91" s="98"/>
      <c r="AA91" s="14"/>
      <c r="AB91" s="209"/>
      <c r="AC91" s="210"/>
      <c r="AD91" s="26"/>
      <c r="AE91" s="209"/>
      <c r="AF91" s="210"/>
      <c r="AG91" s="26"/>
      <c r="AH91" s="281"/>
      <c r="AI91" s="281"/>
      <c r="AJ91" s="14"/>
      <c r="AK91" s="223"/>
      <c r="AL91" s="224"/>
      <c r="AM91" s="14"/>
      <c r="AN91" s="209"/>
      <c r="AO91" s="210"/>
      <c r="AP91" s="14"/>
      <c r="AQ91" s="209"/>
      <c r="AR91" s="210"/>
      <c r="AS91" s="14"/>
      <c r="AT91" s="501"/>
      <c r="AU91" s="502"/>
      <c r="AV91" s="27"/>
      <c r="AW91" s="28"/>
      <c r="AX91" s="83"/>
      <c r="AY91" s="98"/>
      <c r="AZ91" s="100"/>
      <c r="BA91" s="427"/>
      <c r="BB91" s="428"/>
      <c r="BC91" s="100"/>
      <c r="BD91" s="277"/>
      <c r="BE91" s="278"/>
      <c r="BF91" s="100"/>
      <c r="BG91" s="427"/>
      <c r="BH91" s="428"/>
      <c r="BI91" s="100"/>
      <c r="BJ91" s="427"/>
      <c r="BK91" s="428"/>
      <c r="BL91" s="84"/>
      <c r="BM91" s="209"/>
      <c r="BN91" s="210"/>
      <c r="BO91" s="84"/>
      <c r="BP91" s="263"/>
      <c r="BQ91" s="264"/>
      <c r="BR91" s="84"/>
      <c r="BS91" s="263"/>
      <c r="BT91" s="264"/>
      <c r="BU91" s="84"/>
      <c r="BV91" s="263"/>
      <c r="BW91" s="264"/>
      <c r="BX91" s="94"/>
      <c r="BY91" s="263"/>
      <c r="BZ91" s="264"/>
      <c r="CA91" s="95"/>
    </row>
    <row r="92" spans="1:79" s="115" customFormat="1" ht="6.6" customHeight="1" thickBot="1" x14ac:dyDescent="0.3">
      <c r="A92" s="83"/>
      <c r="B92" s="122"/>
      <c r="C92" s="86"/>
      <c r="D92" s="125"/>
      <c r="E92" s="125"/>
      <c r="F92" s="86"/>
      <c r="G92" s="107"/>
      <c r="H92" s="124"/>
      <c r="I92" s="123"/>
      <c r="J92" s="124"/>
      <c r="K92" s="107"/>
      <c r="L92" s="86"/>
      <c r="M92" s="124"/>
      <c r="N92" s="107"/>
      <c r="O92" s="86"/>
      <c r="P92" s="125"/>
      <c r="Q92" s="125"/>
      <c r="R92" s="126"/>
      <c r="S92" s="124"/>
      <c r="T92" s="124"/>
      <c r="U92" s="87"/>
      <c r="V92" s="11"/>
      <c r="W92" s="11"/>
      <c r="X92" s="11"/>
      <c r="Y92" s="83"/>
      <c r="Z92" s="122"/>
      <c r="AA92" s="86"/>
      <c r="AB92" s="125"/>
      <c r="AC92" s="125"/>
      <c r="AD92" s="94"/>
      <c r="AE92" s="124"/>
      <c r="AF92" s="124"/>
      <c r="AG92" s="132"/>
      <c r="AH92" s="133"/>
      <c r="AI92" s="133"/>
      <c r="AJ92" s="123"/>
      <c r="AK92" s="133"/>
      <c r="AL92" s="134"/>
      <c r="AM92" s="84"/>
      <c r="AN92" s="124"/>
      <c r="AO92" s="107"/>
      <c r="AP92" s="86"/>
      <c r="AQ92" s="124"/>
      <c r="AR92" s="124"/>
      <c r="AS92" s="86"/>
      <c r="AT92" s="124"/>
      <c r="AU92" s="107"/>
      <c r="AV92" s="95"/>
      <c r="AW92" s="28"/>
      <c r="AX92" s="83"/>
      <c r="AY92" s="122"/>
      <c r="AZ92" s="123"/>
      <c r="BA92" s="107"/>
      <c r="BB92" s="107"/>
      <c r="BC92" s="123"/>
      <c r="BD92" s="107"/>
      <c r="BE92" s="107"/>
      <c r="BF92" s="123"/>
      <c r="BG92" s="135"/>
      <c r="BH92" s="134"/>
      <c r="BI92" s="123"/>
      <c r="BJ92" s="135"/>
      <c r="BK92" s="135"/>
      <c r="BL92" s="123"/>
      <c r="BM92" s="133"/>
      <c r="BN92" s="134"/>
      <c r="BO92" s="123"/>
      <c r="BP92" s="133"/>
      <c r="BQ92" s="134"/>
      <c r="BR92" s="123"/>
      <c r="BS92" s="138"/>
      <c r="BT92" s="134"/>
      <c r="BU92" s="123"/>
      <c r="BV92" s="107"/>
      <c r="BW92" s="107"/>
      <c r="BX92" s="132"/>
      <c r="BY92" s="133"/>
      <c r="BZ92" s="134"/>
      <c r="CA92" s="95"/>
    </row>
    <row r="93" spans="1:79" customFormat="1" ht="11.45" customHeight="1" x14ac:dyDescent="0.25">
      <c r="A93" s="13"/>
      <c r="B93" s="25"/>
      <c r="C93" s="16"/>
      <c r="D93" s="371"/>
      <c r="E93" s="371"/>
      <c r="F93" s="86"/>
      <c r="G93" s="372"/>
      <c r="H93" s="373"/>
      <c r="I93" s="14"/>
      <c r="J93" s="225"/>
      <c r="K93" s="225"/>
      <c r="L93" s="16"/>
      <c r="M93" s="425"/>
      <c r="N93" s="426"/>
      <c r="O93" s="16"/>
      <c r="P93" s="186"/>
      <c r="Q93" s="187"/>
      <c r="R93" s="17"/>
      <c r="S93" s="273"/>
      <c r="T93" s="274"/>
      <c r="U93" s="19"/>
      <c r="V93" s="11"/>
      <c r="W93" s="11"/>
      <c r="X93" s="11"/>
      <c r="Y93" s="13"/>
      <c r="Z93" s="93"/>
      <c r="AA93" s="14"/>
      <c r="AB93" s="355"/>
      <c r="AC93" s="356"/>
      <c r="AD93" s="26"/>
      <c r="AE93" s="194" t="str">
        <f>IF(AE92="","",VLOOKUP(AE92,mco_101,2,FALSE))</f>
        <v/>
      </c>
      <c r="AF93" s="195"/>
      <c r="AG93" s="26"/>
      <c r="AH93" s="194" t="str">
        <f>IF(AH92="","",VLOOKUP(AH92,mco_103,2,FALSE))</f>
        <v/>
      </c>
      <c r="AI93" s="195"/>
      <c r="AJ93" s="14"/>
      <c r="AK93" s="194" t="str">
        <f>IF(AK92="","",VLOOKUP(AK92,mco_105,2,FALSE))</f>
        <v/>
      </c>
      <c r="AL93" s="195"/>
      <c r="AM93" s="14"/>
      <c r="AN93" s="360"/>
      <c r="AO93" s="361"/>
      <c r="AP93" s="14"/>
      <c r="AQ93" s="242" t="str">
        <f>IF(AQ92="","",VLOOKUP(AQ92,mco_91,2,FALSE))</f>
        <v/>
      </c>
      <c r="AR93" s="243"/>
      <c r="AS93" s="14"/>
      <c r="AT93" s="194" t="str">
        <f>IF(AT92="","",VLOOKUP(AT92,mco_95,2,FALSE))</f>
        <v/>
      </c>
      <c r="AU93" s="195"/>
      <c r="AV93" s="27"/>
      <c r="AW93" s="28"/>
      <c r="AX93" s="83"/>
      <c r="AY93" s="93"/>
      <c r="AZ93" s="84"/>
      <c r="BA93" s="211" t="str">
        <f>IF(BA92="","",VLOOKUP(BA92,gpme_2,2,FALSE))</f>
        <v/>
      </c>
      <c r="BB93" s="212"/>
      <c r="BC93" s="84"/>
      <c r="BD93" s="211" t="str">
        <f>IF(BD92="","",VLOOKUP(BD92,gpme_1,2,FALSE))</f>
        <v/>
      </c>
      <c r="BE93" s="212"/>
      <c r="BF93" s="84"/>
      <c r="BG93" s="174"/>
      <c r="BH93" s="175"/>
      <c r="BI93" s="84"/>
      <c r="BJ93" s="358"/>
      <c r="BK93" s="359"/>
      <c r="BL93" s="84"/>
      <c r="BM93" s="353"/>
      <c r="BN93" s="354"/>
      <c r="BO93" s="84"/>
      <c r="BP93" s="415"/>
      <c r="BQ93" s="416"/>
      <c r="BR93" s="84"/>
      <c r="BS93" s="442"/>
      <c r="BT93" s="443"/>
      <c r="BU93" s="84"/>
      <c r="BV93" s="265" t="str">
        <f>IF(BV92="","",VLOOKUP(BV92,m_3,2,FALSE))</f>
        <v/>
      </c>
      <c r="BW93" s="266"/>
      <c r="BX93" s="94"/>
      <c r="BY93" s="265" t="str">
        <f>IF(BY92="","",VLOOKUP(BY92,m_3,2,FALSE))</f>
        <v/>
      </c>
      <c r="BZ93" s="266"/>
      <c r="CA93" s="95"/>
    </row>
    <row r="94" spans="1:79" customFormat="1" ht="11.45" customHeight="1" x14ac:dyDescent="0.25">
      <c r="A94" s="13"/>
      <c r="B94" s="29" t="s">
        <v>4</v>
      </c>
      <c r="C94" s="16"/>
      <c r="D94" s="226"/>
      <c r="E94" s="226"/>
      <c r="F94" s="86"/>
      <c r="G94" s="366"/>
      <c r="H94" s="367"/>
      <c r="I94" s="14"/>
      <c r="J94" s="226"/>
      <c r="K94" s="226"/>
      <c r="L94" s="16"/>
      <c r="M94" s="366"/>
      <c r="N94" s="367"/>
      <c r="O94" s="16"/>
      <c r="P94" s="164"/>
      <c r="Q94" s="165"/>
      <c r="R94" s="17"/>
      <c r="S94" s="201"/>
      <c r="T94" s="202"/>
      <c r="U94" s="19"/>
      <c r="V94" s="11"/>
      <c r="W94" s="11"/>
      <c r="X94" s="11"/>
      <c r="Y94" s="13"/>
      <c r="Z94" s="96" t="s">
        <v>4</v>
      </c>
      <c r="AA94" s="14"/>
      <c r="AB94" s="341" t="str">
        <f>IF(AB93="","",VLOOKUP(AB93,mco_99,2,FALSE))</f>
        <v/>
      </c>
      <c r="AC94" s="342"/>
      <c r="AD94" s="22"/>
      <c r="AE94" s="205"/>
      <c r="AF94" s="206"/>
      <c r="AG94" s="22"/>
      <c r="AH94" s="205"/>
      <c r="AI94" s="206"/>
      <c r="AJ94" s="14"/>
      <c r="AK94" s="205"/>
      <c r="AL94" s="206"/>
      <c r="AM94" s="14"/>
      <c r="AN94" s="303" t="str">
        <f>IF(AN93="","",VLOOKUP(AN93,mco_91,2,FALSE))</f>
        <v/>
      </c>
      <c r="AO94" s="304"/>
      <c r="AP94" s="14"/>
      <c r="AQ94" s="244"/>
      <c r="AR94" s="245"/>
      <c r="AS94" s="14"/>
      <c r="AT94" s="205"/>
      <c r="AU94" s="206"/>
      <c r="AV94" s="23"/>
      <c r="AW94" s="24"/>
      <c r="AX94" s="83"/>
      <c r="AY94" s="96" t="s">
        <v>4</v>
      </c>
      <c r="AZ94" s="84"/>
      <c r="BA94" s="205"/>
      <c r="BB94" s="206"/>
      <c r="BC94" s="84"/>
      <c r="BD94" s="205"/>
      <c r="BE94" s="206"/>
      <c r="BF94" s="84"/>
      <c r="BG94" s="170" t="str">
        <f>IF(BG93="","",VLOOKUP(BG93,ndrc_7,2,FALSE))</f>
        <v/>
      </c>
      <c r="BH94" s="171"/>
      <c r="BI94" s="84"/>
      <c r="BJ94" s="343" t="str">
        <f>IF(BJ93="","",VLOOKUP(BJ93,ndrc_5,2,FALSE))</f>
        <v/>
      </c>
      <c r="BK94" s="344"/>
      <c r="BL94" s="84"/>
      <c r="BM94" s="339"/>
      <c r="BN94" s="340"/>
      <c r="BO94" s="84"/>
      <c r="BP94" s="388"/>
      <c r="BQ94" s="389"/>
      <c r="BR94" s="84"/>
      <c r="BS94" s="435" t="str">
        <f>IF(BS93="","",VLOOKUP(BS93,rh_1,2,FALSE))</f>
        <v/>
      </c>
      <c r="BT94" s="436"/>
      <c r="BU94" s="84"/>
      <c r="BV94" s="168"/>
      <c r="BW94" s="169"/>
      <c r="BX94" s="91"/>
      <c r="BY94" s="168"/>
      <c r="BZ94" s="169"/>
      <c r="CA94" s="92"/>
    </row>
    <row r="95" spans="1:79" customFormat="1" ht="14.45" customHeight="1" x14ac:dyDescent="0.25">
      <c r="A95" s="13"/>
      <c r="B95" s="368">
        <v>21</v>
      </c>
      <c r="C95" s="16"/>
      <c r="D95" s="164"/>
      <c r="E95" s="165"/>
      <c r="F95" s="86"/>
      <c r="G95" s="366"/>
      <c r="H95" s="367"/>
      <c r="I95" s="14"/>
      <c r="J95" s="226"/>
      <c r="K95" s="226"/>
      <c r="L95" s="16"/>
      <c r="M95" s="164"/>
      <c r="N95" s="165"/>
      <c r="O95" s="16"/>
      <c r="P95" s="164"/>
      <c r="Q95" s="165"/>
      <c r="R95" s="17"/>
      <c r="S95" s="201"/>
      <c r="T95" s="202"/>
      <c r="U95" s="19"/>
      <c r="V95" s="11"/>
      <c r="W95" s="11"/>
      <c r="X95" s="11"/>
      <c r="Y95" s="13"/>
      <c r="Z95" s="368">
        <v>21</v>
      </c>
      <c r="AA95" s="14"/>
      <c r="AB95" s="345"/>
      <c r="AC95" s="346"/>
      <c r="AD95" s="26"/>
      <c r="AE95" s="207"/>
      <c r="AF95" s="208"/>
      <c r="AG95" s="26"/>
      <c r="AH95" s="207"/>
      <c r="AI95" s="208"/>
      <c r="AJ95" s="14"/>
      <c r="AK95" s="207"/>
      <c r="AL95" s="208"/>
      <c r="AM95" s="14"/>
      <c r="AN95" s="308"/>
      <c r="AO95" s="309"/>
      <c r="AP95" s="14"/>
      <c r="AQ95" s="246"/>
      <c r="AR95" s="247"/>
      <c r="AS95" s="14"/>
      <c r="AT95" s="207"/>
      <c r="AU95" s="208"/>
      <c r="AV95" s="27"/>
      <c r="AW95" s="28"/>
      <c r="AX95" s="83"/>
      <c r="AY95" s="368">
        <v>21</v>
      </c>
      <c r="AZ95" s="84"/>
      <c r="BA95" s="207"/>
      <c r="BB95" s="208"/>
      <c r="BC95" s="84"/>
      <c r="BD95" s="207"/>
      <c r="BE95" s="208"/>
      <c r="BF95" s="84"/>
      <c r="BG95" s="176"/>
      <c r="BH95" s="177"/>
      <c r="BI95" s="84"/>
      <c r="BJ95" s="347"/>
      <c r="BK95" s="348"/>
      <c r="BL95" s="84"/>
      <c r="BM95" s="351"/>
      <c r="BN95" s="352"/>
      <c r="BO95" s="84"/>
      <c r="BP95" s="380"/>
      <c r="BQ95" s="381"/>
      <c r="BR95" s="84"/>
      <c r="BS95" s="437"/>
      <c r="BT95" s="438"/>
      <c r="BU95" s="84"/>
      <c r="BV95" s="168"/>
      <c r="BW95" s="169"/>
      <c r="BX95" s="94"/>
      <c r="BY95" s="168"/>
      <c r="BZ95" s="169"/>
      <c r="CA95" s="95"/>
    </row>
    <row r="96" spans="1:79" customFormat="1" ht="14.45" customHeight="1" x14ac:dyDescent="0.25">
      <c r="A96" s="13"/>
      <c r="B96" s="368"/>
      <c r="C96" s="16"/>
      <c r="D96" s="363"/>
      <c r="E96" s="363"/>
      <c r="F96" s="86"/>
      <c r="G96" s="366"/>
      <c r="H96" s="367"/>
      <c r="I96" s="14"/>
      <c r="J96" s="226"/>
      <c r="K96" s="226"/>
      <c r="L96" s="16"/>
      <c r="M96" s="300"/>
      <c r="N96" s="301"/>
      <c r="O96" s="16"/>
      <c r="P96" s="164"/>
      <c r="Q96" s="165"/>
      <c r="R96" s="17"/>
      <c r="S96" s="201"/>
      <c r="T96" s="202"/>
      <c r="U96" s="19"/>
      <c r="V96" s="11"/>
      <c r="W96" s="11"/>
      <c r="X96" s="11"/>
      <c r="Y96" s="13"/>
      <c r="Z96" s="368"/>
      <c r="AA96" s="14"/>
      <c r="AB96" s="337"/>
      <c r="AC96" s="338"/>
      <c r="AD96" s="26"/>
      <c r="AE96" s="207" t="str">
        <f>IF(AE95="","",VLOOKUP(AE95,mco_101,2,FALSE))</f>
        <v/>
      </c>
      <c r="AF96" s="208"/>
      <c r="AG96" s="26"/>
      <c r="AH96" s="207" t="str">
        <f>IF(AH95="","",VLOOKUP(AH95,mco_103,2,FALSE))</f>
        <v/>
      </c>
      <c r="AI96" s="208"/>
      <c r="AJ96" s="14"/>
      <c r="AK96" s="207" t="str">
        <f>IF(AK95="","",VLOOKUP(AK95,mco_105,2,FALSE))</f>
        <v/>
      </c>
      <c r="AL96" s="208"/>
      <c r="AM96" s="14"/>
      <c r="AN96" s="297"/>
      <c r="AO96" s="298"/>
      <c r="AP96" s="14"/>
      <c r="AQ96" s="246" t="str">
        <f>IF(AQ95="","",VLOOKUP(AQ95,mco_91,2,FALSE))</f>
        <v/>
      </c>
      <c r="AR96" s="247"/>
      <c r="AS96" s="14"/>
      <c r="AT96" s="207" t="str">
        <f>IF(AT95="","",VLOOKUP(AT95,mco_95,2,FALSE))</f>
        <v/>
      </c>
      <c r="AU96" s="208"/>
      <c r="AV96" s="27"/>
      <c r="AW96" s="28"/>
      <c r="AX96" s="83"/>
      <c r="AY96" s="368"/>
      <c r="AZ96" s="84"/>
      <c r="BA96" s="207" t="str">
        <f>IF(BA95="","",VLOOKUP(BA95,gpme_2,2,FALSE))</f>
        <v/>
      </c>
      <c r="BB96" s="208"/>
      <c r="BC96" s="84"/>
      <c r="BD96" s="207" t="str">
        <f>IF(BD95="","",VLOOKUP(BD95,gpme_1,2,FALSE))</f>
        <v/>
      </c>
      <c r="BE96" s="208"/>
      <c r="BF96" s="84"/>
      <c r="BG96" s="178"/>
      <c r="BH96" s="179"/>
      <c r="BI96" s="84"/>
      <c r="BJ96" s="349"/>
      <c r="BK96" s="350"/>
      <c r="BL96" s="84"/>
      <c r="BM96" s="335"/>
      <c r="BN96" s="336"/>
      <c r="BO96" s="84"/>
      <c r="BP96" s="401"/>
      <c r="BQ96" s="402"/>
      <c r="BR96" s="84"/>
      <c r="BS96" s="439"/>
      <c r="BT96" s="440"/>
      <c r="BU96" s="84"/>
      <c r="BV96" s="168" t="str">
        <f>IF(BV95="","",VLOOKUP(BV95,m_3,2,FALSE))</f>
        <v/>
      </c>
      <c r="BW96" s="169"/>
      <c r="BX96" s="94"/>
      <c r="BY96" s="168" t="str">
        <f>IF(BY95="","",VLOOKUP(BY95,m_3,2,FALSE))</f>
        <v/>
      </c>
      <c r="BZ96" s="169"/>
      <c r="CA96" s="95"/>
    </row>
    <row r="97" spans="1:79" customFormat="1" ht="11.45" customHeight="1" x14ac:dyDescent="0.25">
      <c r="A97" s="13"/>
      <c r="B97" s="30"/>
      <c r="C97" s="16"/>
      <c r="D97" s="226"/>
      <c r="E97" s="226"/>
      <c r="F97" s="86"/>
      <c r="G97" s="366"/>
      <c r="H97" s="367"/>
      <c r="I97" s="14"/>
      <c r="J97" s="226"/>
      <c r="K97" s="226"/>
      <c r="L97" s="16"/>
      <c r="M97" s="366"/>
      <c r="N97" s="367"/>
      <c r="O97" s="16"/>
      <c r="P97" s="164"/>
      <c r="Q97" s="165"/>
      <c r="R97" s="17"/>
      <c r="S97" s="201"/>
      <c r="T97" s="202"/>
      <c r="U97" s="19"/>
      <c r="V97" s="11"/>
      <c r="W97" s="11"/>
      <c r="X97" s="11"/>
      <c r="Y97" s="13"/>
      <c r="Z97" s="147"/>
      <c r="AA97" s="14"/>
      <c r="AB97" s="341" t="str">
        <f>IF(AB96="","",VLOOKUP(AB96,mco_99,2,FALSE))</f>
        <v/>
      </c>
      <c r="AC97" s="342"/>
      <c r="AD97" s="22"/>
      <c r="AE97" s="205"/>
      <c r="AF97" s="206"/>
      <c r="AG97" s="22"/>
      <c r="AH97" s="205"/>
      <c r="AI97" s="206"/>
      <c r="AJ97" s="14"/>
      <c r="AK97" s="205"/>
      <c r="AL97" s="206"/>
      <c r="AM97" s="14"/>
      <c r="AN97" s="303" t="str">
        <f>IF(AN96="","",VLOOKUP(AN96,mco_91,2,FALSE))</f>
        <v/>
      </c>
      <c r="AO97" s="304"/>
      <c r="AP97" s="14"/>
      <c r="AQ97" s="244"/>
      <c r="AR97" s="245"/>
      <c r="AS97" s="14"/>
      <c r="AT97" s="205"/>
      <c r="AU97" s="206"/>
      <c r="AV97" s="23"/>
      <c r="AW97" s="24"/>
      <c r="AX97" s="83"/>
      <c r="AY97" s="147"/>
      <c r="AZ97" s="84"/>
      <c r="BA97" s="205"/>
      <c r="BB97" s="206"/>
      <c r="BC97" s="84"/>
      <c r="BD97" s="205"/>
      <c r="BE97" s="206"/>
      <c r="BF97" s="84"/>
      <c r="BG97" s="170" t="str">
        <f>IF(BG96="","",VLOOKUP(BG96,ndrc_7,2,FALSE))</f>
        <v/>
      </c>
      <c r="BH97" s="171"/>
      <c r="BI97" s="84"/>
      <c r="BJ97" s="343" t="str">
        <f>IF(BJ96="","",VLOOKUP(BJ96,ndrc_5,2,FALSE))</f>
        <v/>
      </c>
      <c r="BK97" s="344"/>
      <c r="BL97" s="84"/>
      <c r="BM97" s="339"/>
      <c r="BN97" s="340"/>
      <c r="BO97" s="84"/>
      <c r="BP97" s="388"/>
      <c r="BQ97" s="389"/>
      <c r="BR97" s="84"/>
      <c r="BS97" s="435" t="str">
        <f>IF(BS96="","",VLOOKUP(BS96,rh_1,2,FALSE))</f>
        <v/>
      </c>
      <c r="BT97" s="436"/>
      <c r="BU97" s="84"/>
      <c r="BV97" s="168"/>
      <c r="BW97" s="169"/>
      <c r="BX97" s="91"/>
      <c r="BY97" s="168"/>
      <c r="BZ97" s="169"/>
      <c r="CA97" s="92"/>
    </row>
    <row r="98" spans="1:79" customFormat="1" ht="11.45" customHeight="1" thickBot="1" x14ac:dyDescent="0.3">
      <c r="A98" s="13"/>
      <c r="B98" s="32"/>
      <c r="C98" s="16"/>
      <c r="D98" s="281"/>
      <c r="E98" s="281"/>
      <c r="F98" s="86"/>
      <c r="G98" s="364"/>
      <c r="H98" s="365"/>
      <c r="I98" s="14"/>
      <c r="J98" s="281"/>
      <c r="K98" s="281"/>
      <c r="L98" s="16"/>
      <c r="M98" s="364"/>
      <c r="N98" s="365"/>
      <c r="O98" s="16"/>
      <c r="P98" s="199"/>
      <c r="Q98" s="200"/>
      <c r="R98" s="17"/>
      <c r="S98" s="203"/>
      <c r="T98" s="204"/>
      <c r="U98" s="19"/>
      <c r="V98" s="11"/>
      <c r="W98" s="11"/>
      <c r="X98" s="11"/>
      <c r="Y98" s="13"/>
      <c r="Z98" s="98"/>
      <c r="AA98" s="14"/>
      <c r="AB98" s="331"/>
      <c r="AC98" s="332"/>
      <c r="AD98" s="26"/>
      <c r="AE98" s="209"/>
      <c r="AF98" s="210"/>
      <c r="AG98" s="26"/>
      <c r="AH98" s="209"/>
      <c r="AI98" s="210"/>
      <c r="AJ98" s="14"/>
      <c r="AK98" s="209"/>
      <c r="AL98" s="210"/>
      <c r="AM98" s="14"/>
      <c r="AN98" s="295"/>
      <c r="AO98" s="296"/>
      <c r="AP98" s="14"/>
      <c r="AQ98" s="248"/>
      <c r="AR98" s="249"/>
      <c r="AS98" s="14"/>
      <c r="AT98" s="209"/>
      <c r="AU98" s="210"/>
      <c r="AV98" s="27"/>
      <c r="AW98" s="28"/>
      <c r="AX98" s="83"/>
      <c r="AY98" s="98"/>
      <c r="AZ98" s="100"/>
      <c r="BA98" s="209"/>
      <c r="BB98" s="234"/>
      <c r="BC98" s="100"/>
      <c r="BD98" s="209"/>
      <c r="BE98" s="234"/>
      <c r="BF98" s="100"/>
      <c r="BG98" s="172"/>
      <c r="BH98" s="173"/>
      <c r="BI98" s="100"/>
      <c r="BJ98" s="327"/>
      <c r="BK98" s="328"/>
      <c r="BL98" s="84"/>
      <c r="BM98" s="329"/>
      <c r="BN98" s="330"/>
      <c r="BO98" s="84"/>
      <c r="BP98" s="395"/>
      <c r="BQ98" s="396"/>
      <c r="BR98" s="84"/>
      <c r="BS98" s="444"/>
      <c r="BT98" s="445"/>
      <c r="BU98" s="84"/>
      <c r="BV98" s="263"/>
      <c r="BW98" s="264"/>
      <c r="BX98" s="94"/>
      <c r="BY98" s="263"/>
      <c r="BZ98" s="264"/>
      <c r="CA98" s="95"/>
    </row>
    <row r="99" spans="1:79" customFormat="1" ht="11.45" customHeight="1" x14ac:dyDescent="0.25">
      <c r="A99" s="13"/>
      <c r="B99" s="25"/>
      <c r="C99" s="16"/>
      <c r="D99" s="424"/>
      <c r="E99" s="424"/>
      <c r="F99" s="16"/>
      <c r="G99" s="363"/>
      <c r="H99" s="363"/>
      <c r="I99" s="14"/>
      <c r="J99" s="362"/>
      <c r="K99" s="362"/>
      <c r="L99" s="16"/>
      <c r="M99" s="226"/>
      <c r="N99" s="226"/>
      <c r="O99" s="16"/>
      <c r="P99" s="211"/>
      <c r="Q99" s="212"/>
      <c r="R99" s="17"/>
      <c r="S99" s="230"/>
      <c r="T99" s="231"/>
      <c r="U99" s="19"/>
      <c r="V99" s="11"/>
      <c r="W99" s="11"/>
      <c r="X99" s="11"/>
      <c r="Y99" s="13"/>
      <c r="Z99" s="93"/>
      <c r="AA99" s="14"/>
      <c r="AB99" s="355"/>
      <c r="AC99" s="356"/>
      <c r="AD99" s="26"/>
      <c r="AE99" s="357"/>
      <c r="AF99" s="266"/>
      <c r="AG99" s="26"/>
      <c r="AH99" s="194" t="str">
        <f>IF(AH98="","",VLOOKUP(AH98,mco_103,2,FALSE))</f>
        <v/>
      </c>
      <c r="AI99" s="195"/>
      <c r="AJ99" s="14"/>
      <c r="AK99" s="194" t="str">
        <f>IF(AK98="","",VLOOKUP(AK98,mco_105,2,FALSE))</f>
        <v/>
      </c>
      <c r="AL99" s="195"/>
      <c r="AM99" s="14"/>
      <c r="AN99" s="360"/>
      <c r="AO99" s="361"/>
      <c r="AP99" s="14"/>
      <c r="AQ99" s="486"/>
      <c r="AR99" s="487"/>
      <c r="AS99" s="14"/>
      <c r="AT99" s="194" t="str">
        <f>IF(AT98="","",VLOOKUP(AT98,mco_95,2,FALSE))</f>
        <v/>
      </c>
      <c r="AU99" s="195"/>
      <c r="AV99" s="27"/>
      <c r="AW99" s="28"/>
      <c r="AX99" s="83"/>
      <c r="AY99" s="93"/>
      <c r="AZ99" s="84"/>
      <c r="BA99" s="194" t="str">
        <f>IF(BA98="","",VLOOKUP(BA98,gpme_2,2,FALSE))</f>
        <v/>
      </c>
      <c r="BB99" s="195"/>
      <c r="BC99" s="84"/>
      <c r="BD99" s="194" t="str">
        <f>IF(BD98="","",VLOOKUP(BD98,gpme_1,2,FALSE))</f>
        <v/>
      </c>
      <c r="BE99" s="195"/>
      <c r="BF99" s="84"/>
      <c r="BG99" s="174"/>
      <c r="BH99" s="175"/>
      <c r="BI99" s="84"/>
      <c r="BJ99" s="358"/>
      <c r="BK99" s="359"/>
      <c r="BL99" s="84"/>
      <c r="BM99" s="353"/>
      <c r="BN99" s="354"/>
      <c r="BO99" s="84"/>
      <c r="BP99" s="415"/>
      <c r="BQ99" s="416"/>
      <c r="BR99" s="84"/>
      <c r="BS99" s="442"/>
      <c r="BT99" s="443"/>
      <c r="BU99" s="84"/>
      <c r="BV99" s="265" t="str">
        <f>IF(BV98="","",VLOOKUP(BV98,m_3,2,FALSE))</f>
        <v/>
      </c>
      <c r="BW99" s="266"/>
      <c r="BX99" s="94"/>
      <c r="BY99" s="265" t="str">
        <f>IF(BY98="","",VLOOKUP(BY98,m_3,2,FALSE))</f>
        <v/>
      </c>
      <c r="BZ99" s="266"/>
      <c r="CA99" s="95"/>
    </row>
    <row r="100" spans="1:79" customFormat="1" ht="11.45" customHeight="1" x14ac:dyDescent="0.25">
      <c r="A100" s="13"/>
      <c r="B100" s="29" t="s">
        <v>5</v>
      </c>
      <c r="C100" s="16"/>
      <c r="D100" s="316"/>
      <c r="E100" s="316"/>
      <c r="F100" s="16"/>
      <c r="G100" s="226"/>
      <c r="H100" s="226"/>
      <c r="I100" s="14"/>
      <c r="J100" s="315"/>
      <c r="K100" s="315"/>
      <c r="L100" s="16"/>
      <c r="M100" s="226"/>
      <c r="N100" s="226"/>
      <c r="O100" s="16"/>
      <c r="P100" s="201"/>
      <c r="Q100" s="202"/>
      <c r="R100" s="17"/>
      <c r="S100" s="325"/>
      <c r="T100" s="326"/>
      <c r="U100" s="19"/>
      <c r="V100" s="11"/>
      <c r="W100" s="11"/>
      <c r="X100" s="11"/>
      <c r="Y100" s="13"/>
      <c r="Z100" s="96" t="s">
        <v>5</v>
      </c>
      <c r="AA100" s="14"/>
      <c r="AB100" s="341" t="str">
        <f>IF(AB99="","",VLOOKUP(AB99,mco_99,2,FALSE))</f>
        <v/>
      </c>
      <c r="AC100" s="342"/>
      <c r="AD100" s="22"/>
      <c r="AE100" s="287" t="str">
        <f>IF(AE99="","",VLOOKUP(AE99,mco_101,2,FALSE))</f>
        <v/>
      </c>
      <c r="AF100" s="169"/>
      <c r="AG100" s="22"/>
      <c r="AH100" s="205"/>
      <c r="AI100" s="206"/>
      <c r="AJ100" s="14"/>
      <c r="AK100" s="205"/>
      <c r="AL100" s="206"/>
      <c r="AM100" s="14"/>
      <c r="AN100" s="303" t="str">
        <f>IF(AN99="","",VLOOKUP(AN99,mco_91,2,FALSE))</f>
        <v/>
      </c>
      <c r="AO100" s="304"/>
      <c r="AP100" s="14"/>
      <c r="AQ100" s="488" t="str">
        <f>IF(AQ99="","",VLOOKUP(AQ99,mco_91,2,FALSE))</f>
        <v/>
      </c>
      <c r="AR100" s="489"/>
      <c r="AS100" s="14"/>
      <c r="AT100" s="205"/>
      <c r="AU100" s="206"/>
      <c r="AV100" s="23"/>
      <c r="AW100" s="24"/>
      <c r="AX100" s="83"/>
      <c r="AY100" s="96" t="s">
        <v>5</v>
      </c>
      <c r="AZ100" s="84"/>
      <c r="BA100" s="205"/>
      <c r="BB100" s="206"/>
      <c r="BC100" s="84"/>
      <c r="BD100" s="205"/>
      <c r="BE100" s="206"/>
      <c r="BF100" s="84"/>
      <c r="BG100" s="170" t="str">
        <f>IF(BG99="","",VLOOKUP(BG99,ndrc_7,2,FALSE))</f>
        <v/>
      </c>
      <c r="BH100" s="171"/>
      <c r="BI100" s="84"/>
      <c r="BJ100" s="343" t="str">
        <f>IF(BJ99="","",VLOOKUP(BJ99,ndrc_5,2,FALSE))</f>
        <v/>
      </c>
      <c r="BK100" s="344"/>
      <c r="BL100" s="84"/>
      <c r="BM100" s="339"/>
      <c r="BN100" s="340"/>
      <c r="BO100" s="84"/>
      <c r="BP100" s="388"/>
      <c r="BQ100" s="389"/>
      <c r="BR100" s="84"/>
      <c r="BS100" s="435" t="str">
        <f>IF(BS99="","",VLOOKUP(BS99,rh_1,2,FALSE))</f>
        <v/>
      </c>
      <c r="BT100" s="436"/>
      <c r="BU100" s="84"/>
      <c r="BV100" s="168"/>
      <c r="BW100" s="169"/>
      <c r="BX100" s="91"/>
      <c r="BY100" s="168"/>
      <c r="BZ100" s="169"/>
      <c r="CA100" s="92"/>
    </row>
    <row r="101" spans="1:79" customFormat="1" ht="11.45" customHeight="1" x14ac:dyDescent="0.25">
      <c r="A101" s="13"/>
      <c r="B101" s="30">
        <v>22</v>
      </c>
      <c r="C101" s="16"/>
      <c r="D101" s="312"/>
      <c r="E101" s="312"/>
      <c r="F101" s="16"/>
      <c r="G101" s="226"/>
      <c r="H101" s="226"/>
      <c r="I101" s="14"/>
      <c r="J101" s="310"/>
      <c r="K101" s="311"/>
      <c r="L101" s="16"/>
      <c r="M101" s="226"/>
      <c r="N101" s="226"/>
      <c r="O101" s="16"/>
      <c r="P101" s="201"/>
      <c r="Q101" s="202"/>
      <c r="R101" s="17"/>
      <c r="S101" s="325"/>
      <c r="T101" s="326"/>
      <c r="U101" s="19"/>
      <c r="V101" s="11"/>
      <c r="W101" s="11"/>
      <c r="X101" s="11"/>
      <c r="Y101" s="13"/>
      <c r="Z101" s="147">
        <v>22</v>
      </c>
      <c r="AA101" s="14"/>
      <c r="AB101" s="345"/>
      <c r="AC101" s="346"/>
      <c r="AD101" s="26"/>
      <c r="AE101" s="305"/>
      <c r="AF101" s="169"/>
      <c r="AG101" s="26"/>
      <c r="AH101" s="207"/>
      <c r="AI101" s="208"/>
      <c r="AJ101" s="14"/>
      <c r="AK101" s="207"/>
      <c r="AL101" s="208"/>
      <c r="AM101" s="14"/>
      <c r="AN101" s="308"/>
      <c r="AO101" s="309"/>
      <c r="AP101" s="14"/>
      <c r="AQ101" s="490"/>
      <c r="AR101" s="491"/>
      <c r="AS101" s="14"/>
      <c r="AT101" s="207"/>
      <c r="AU101" s="208"/>
      <c r="AV101" s="27"/>
      <c r="AW101" s="28"/>
      <c r="AX101" s="83"/>
      <c r="AY101" s="147">
        <v>22</v>
      </c>
      <c r="AZ101" s="84"/>
      <c r="BA101" s="207"/>
      <c r="BB101" s="208"/>
      <c r="BC101" s="84"/>
      <c r="BD101" s="207"/>
      <c r="BE101" s="208"/>
      <c r="BF101" s="84"/>
      <c r="BG101" s="176"/>
      <c r="BH101" s="177"/>
      <c r="BI101" s="84"/>
      <c r="BJ101" s="347"/>
      <c r="BK101" s="348"/>
      <c r="BL101" s="84"/>
      <c r="BM101" s="351"/>
      <c r="BN101" s="352"/>
      <c r="BO101" s="84"/>
      <c r="BP101" s="380"/>
      <c r="BQ101" s="381"/>
      <c r="BR101" s="84"/>
      <c r="BS101" s="437"/>
      <c r="BT101" s="438"/>
      <c r="BU101" s="84"/>
      <c r="BV101" s="168"/>
      <c r="BW101" s="169"/>
      <c r="BX101" s="94"/>
      <c r="BY101" s="168"/>
      <c r="BZ101" s="169"/>
      <c r="CA101" s="95"/>
    </row>
    <row r="102" spans="1:79" customFormat="1" ht="11.45" customHeight="1" x14ac:dyDescent="0.25">
      <c r="A102" s="13"/>
      <c r="B102" s="30"/>
      <c r="C102" s="16"/>
      <c r="D102" s="302"/>
      <c r="E102" s="302"/>
      <c r="F102" s="16"/>
      <c r="G102" s="226"/>
      <c r="H102" s="226"/>
      <c r="I102" s="14"/>
      <c r="J102" s="299"/>
      <c r="K102" s="299"/>
      <c r="L102" s="16"/>
      <c r="M102" s="226"/>
      <c r="N102" s="226"/>
      <c r="O102" s="16"/>
      <c r="P102" s="201"/>
      <c r="Q102" s="202"/>
      <c r="R102" s="17"/>
      <c r="S102" s="325"/>
      <c r="T102" s="326"/>
      <c r="U102" s="19"/>
      <c r="V102" s="11"/>
      <c r="W102" s="11"/>
      <c r="X102" s="11"/>
      <c r="Y102" s="13"/>
      <c r="Z102" s="147"/>
      <c r="AA102" s="14"/>
      <c r="AB102" s="337"/>
      <c r="AC102" s="338"/>
      <c r="AD102" s="26"/>
      <c r="AE102" s="319"/>
      <c r="AF102" s="320"/>
      <c r="AG102" s="26"/>
      <c r="AH102" s="207" t="str">
        <f>IF(AH101="","",VLOOKUP(AH101,mco_103,2,FALSE))</f>
        <v/>
      </c>
      <c r="AI102" s="208"/>
      <c r="AJ102" s="14"/>
      <c r="AK102" s="207" t="str">
        <f>IF(AK101="","",VLOOKUP(AK101,mco_105,2,FALSE))</f>
        <v/>
      </c>
      <c r="AL102" s="208"/>
      <c r="AM102" s="14"/>
      <c r="AN102" s="297"/>
      <c r="AO102" s="298"/>
      <c r="AP102" s="14"/>
      <c r="AQ102" s="492"/>
      <c r="AR102" s="493"/>
      <c r="AS102" s="14"/>
      <c r="AT102" s="207" t="str">
        <f>IF(AT101="","",VLOOKUP(AT101,mco_95,2,FALSE))</f>
        <v/>
      </c>
      <c r="AU102" s="208"/>
      <c r="AV102" s="27"/>
      <c r="AW102" s="28"/>
      <c r="AX102" s="83"/>
      <c r="AY102" s="147"/>
      <c r="AZ102" s="84"/>
      <c r="BA102" s="207" t="str">
        <f>IF(BA101="","",VLOOKUP(BA101,gpme_2,2,FALSE))</f>
        <v/>
      </c>
      <c r="BB102" s="208"/>
      <c r="BC102" s="84"/>
      <c r="BD102" s="207" t="str">
        <f>IF(BD101="","",VLOOKUP(BD101,gpme_1,2,FALSE))</f>
        <v/>
      </c>
      <c r="BE102" s="208"/>
      <c r="BF102" s="84"/>
      <c r="BG102" s="178"/>
      <c r="BH102" s="179"/>
      <c r="BI102" s="84"/>
      <c r="BJ102" s="349"/>
      <c r="BK102" s="350"/>
      <c r="BL102" s="84"/>
      <c r="BM102" s="335"/>
      <c r="BN102" s="336"/>
      <c r="BO102" s="84"/>
      <c r="BP102" s="401"/>
      <c r="BQ102" s="402"/>
      <c r="BR102" s="84"/>
      <c r="BS102" s="439"/>
      <c r="BT102" s="440"/>
      <c r="BU102" s="84"/>
      <c r="BV102" s="168" t="str">
        <f>IF(BV101="","",VLOOKUP(BV101,m_3,2,FALSE))</f>
        <v/>
      </c>
      <c r="BW102" s="169"/>
      <c r="BX102" s="94"/>
      <c r="BY102" s="168" t="str">
        <f>IF(BY101="","",VLOOKUP(BY101,m_3,2,FALSE))</f>
        <v/>
      </c>
      <c r="BZ102" s="169"/>
      <c r="CA102" s="95"/>
    </row>
    <row r="103" spans="1:79" customFormat="1" ht="11.45" customHeight="1" x14ac:dyDescent="0.25">
      <c r="A103" s="13"/>
      <c r="B103" s="30"/>
      <c r="C103" s="16"/>
      <c r="D103" s="316"/>
      <c r="E103" s="316"/>
      <c r="F103" s="16"/>
      <c r="G103" s="226"/>
      <c r="H103" s="226"/>
      <c r="I103" s="14"/>
      <c r="J103" s="315"/>
      <c r="K103" s="315"/>
      <c r="L103" s="16"/>
      <c r="M103" s="226"/>
      <c r="N103" s="226"/>
      <c r="O103" s="16"/>
      <c r="P103" s="201"/>
      <c r="Q103" s="202"/>
      <c r="R103" s="17"/>
      <c r="S103" s="325"/>
      <c r="T103" s="326"/>
      <c r="U103" s="19"/>
      <c r="V103" s="11"/>
      <c r="W103" s="11"/>
      <c r="X103" s="11"/>
      <c r="Y103" s="13"/>
      <c r="Z103" s="147"/>
      <c r="AA103" s="14"/>
      <c r="AB103" s="341" t="str">
        <f>IF(AB102="","",VLOOKUP(AB102,mco_99,2,FALSE))</f>
        <v/>
      </c>
      <c r="AC103" s="342"/>
      <c r="AD103" s="22"/>
      <c r="AE103" s="287" t="str">
        <f>IF(AE102="","",VLOOKUP(AE102,mco_101,2,FALSE))</f>
        <v/>
      </c>
      <c r="AF103" s="169"/>
      <c r="AG103" s="22"/>
      <c r="AH103" s="205"/>
      <c r="AI103" s="206"/>
      <c r="AJ103" s="14"/>
      <c r="AK103" s="205"/>
      <c r="AL103" s="206"/>
      <c r="AM103" s="14"/>
      <c r="AN103" s="303" t="str">
        <f>IF(AN102="","",VLOOKUP(AN102,mco_91,2,FALSE))</f>
        <v/>
      </c>
      <c r="AO103" s="304"/>
      <c r="AP103" s="14"/>
      <c r="AQ103" s="488" t="str">
        <f>IF(AQ102="","",VLOOKUP(AQ102,mco_91,2,FALSE))</f>
        <v/>
      </c>
      <c r="AR103" s="489"/>
      <c r="AS103" s="14"/>
      <c r="AT103" s="205"/>
      <c r="AU103" s="206"/>
      <c r="AV103" s="23"/>
      <c r="AW103" s="24"/>
      <c r="AX103" s="83"/>
      <c r="AY103" s="147"/>
      <c r="AZ103" s="84"/>
      <c r="BA103" s="205"/>
      <c r="BB103" s="206"/>
      <c r="BC103" s="84"/>
      <c r="BD103" s="205"/>
      <c r="BE103" s="206"/>
      <c r="BF103" s="84"/>
      <c r="BG103" s="170" t="str">
        <f>IF(BG102="","",VLOOKUP(BG102,ndrc_7,2,FALSE))</f>
        <v/>
      </c>
      <c r="BH103" s="171"/>
      <c r="BI103" s="84"/>
      <c r="BJ103" s="343" t="str">
        <f>IF(BJ102="","",VLOOKUP(BJ102,ndrc_5,2,FALSE))</f>
        <v/>
      </c>
      <c r="BK103" s="344"/>
      <c r="BL103" s="84"/>
      <c r="BM103" s="339"/>
      <c r="BN103" s="340"/>
      <c r="BO103" s="84"/>
      <c r="BP103" s="388"/>
      <c r="BQ103" s="389"/>
      <c r="BR103" s="84"/>
      <c r="BS103" s="435" t="str">
        <f>IF(BS102="","",VLOOKUP(BS102,rh_1,2,FALSE))</f>
        <v/>
      </c>
      <c r="BT103" s="436"/>
      <c r="BU103" s="84"/>
      <c r="BV103" s="168"/>
      <c r="BW103" s="169"/>
      <c r="BX103" s="91"/>
      <c r="BY103" s="168"/>
      <c r="BZ103" s="169"/>
      <c r="CA103" s="92"/>
    </row>
    <row r="104" spans="1:79" customFormat="1" ht="11.45" customHeight="1" thickBot="1" x14ac:dyDescent="0.3">
      <c r="A104" s="13"/>
      <c r="B104" s="32"/>
      <c r="C104" s="16"/>
      <c r="D104" s="282"/>
      <c r="E104" s="282"/>
      <c r="F104" s="16"/>
      <c r="G104" s="281"/>
      <c r="H104" s="281"/>
      <c r="I104" s="14"/>
      <c r="J104" s="279"/>
      <c r="K104" s="280"/>
      <c r="L104" s="16"/>
      <c r="M104" s="281"/>
      <c r="N104" s="281"/>
      <c r="O104" s="16"/>
      <c r="P104" s="203"/>
      <c r="Q104" s="204"/>
      <c r="R104" s="17"/>
      <c r="S104" s="333"/>
      <c r="T104" s="334"/>
      <c r="U104" s="19"/>
      <c r="V104" s="11"/>
      <c r="W104" s="11"/>
      <c r="X104" s="11"/>
      <c r="Y104" s="13"/>
      <c r="Z104" s="98"/>
      <c r="AA104" s="14"/>
      <c r="AB104" s="331"/>
      <c r="AC104" s="332"/>
      <c r="AD104" s="26"/>
      <c r="AE104" s="291"/>
      <c r="AF104" s="292"/>
      <c r="AG104" s="26"/>
      <c r="AH104" s="209"/>
      <c r="AI104" s="210"/>
      <c r="AJ104" s="14"/>
      <c r="AK104" s="209"/>
      <c r="AL104" s="210"/>
      <c r="AM104" s="14"/>
      <c r="AN104" s="295"/>
      <c r="AO104" s="296"/>
      <c r="AP104" s="14"/>
      <c r="AQ104" s="494"/>
      <c r="AR104" s="495"/>
      <c r="AS104" s="14"/>
      <c r="AT104" s="209"/>
      <c r="AU104" s="210"/>
      <c r="AV104" s="27"/>
      <c r="AW104" s="28"/>
      <c r="AX104" s="83"/>
      <c r="AY104" s="98"/>
      <c r="AZ104" s="84"/>
      <c r="BA104" s="209"/>
      <c r="BB104" s="210"/>
      <c r="BC104" s="84"/>
      <c r="BD104" s="209"/>
      <c r="BE104" s="210"/>
      <c r="BF104" s="84"/>
      <c r="BG104" s="172"/>
      <c r="BH104" s="173"/>
      <c r="BI104" s="84"/>
      <c r="BJ104" s="327"/>
      <c r="BK104" s="328"/>
      <c r="BL104" s="84"/>
      <c r="BM104" s="329"/>
      <c r="BN104" s="330"/>
      <c r="BO104" s="84"/>
      <c r="BP104" s="395"/>
      <c r="BQ104" s="396"/>
      <c r="BR104" s="84"/>
      <c r="BS104" s="444"/>
      <c r="BT104" s="445"/>
      <c r="BU104" s="84"/>
      <c r="BV104" s="263"/>
      <c r="BW104" s="264"/>
      <c r="BX104" s="94"/>
      <c r="BY104" s="263"/>
      <c r="BZ104" s="264"/>
      <c r="CA104" s="95"/>
    </row>
    <row r="105" spans="1:79" s="69" customFormat="1" ht="11.45" customHeight="1" x14ac:dyDescent="0.25">
      <c r="A105" s="13"/>
      <c r="B105" s="65"/>
      <c r="C105" s="16"/>
      <c r="D105" s="424"/>
      <c r="E105" s="424"/>
      <c r="F105" s="16"/>
      <c r="G105" s="166"/>
      <c r="H105" s="167"/>
      <c r="I105" s="14"/>
      <c r="J105" s="362"/>
      <c r="K105" s="362"/>
      <c r="L105" s="16"/>
      <c r="M105" s="226"/>
      <c r="N105" s="226"/>
      <c r="O105" s="16"/>
      <c r="P105" s="273"/>
      <c r="Q105" s="274"/>
      <c r="R105" s="17"/>
      <c r="S105" s="273"/>
      <c r="T105" s="274"/>
      <c r="U105" s="19"/>
      <c r="V105" s="11"/>
      <c r="W105" s="11"/>
      <c r="X105" s="11"/>
      <c r="Y105" s="13"/>
      <c r="Z105" s="65"/>
      <c r="AA105" s="14"/>
      <c r="AB105" s="194"/>
      <c r="AC105" s="195"/>
      <c r="AD105" s="22"/>
      <c r="AE105" s="357"/>
      <c r="AF105" s="266"/>
      <c r="AG105" s="22"/>
      <c r="AH105" s="419"/>
      <c r="AI105" s="420"/>
      <c r="AJ105" s="14"/>
      <c r="AK105" s="241"/>
      <c r="AL105" s="241"/>
      <c r="AM105" s="14"/>
      <c r="AN105" s="242"/>
      <c r="AO105" s="243"/>
      <c r="AP105" s="14"/>
      <c r="AQ105" s="486"/>
      <c r="AR105" s="487"/>
      <c r="AS105" s="14"/>
      <c r="AT105" s="205"/>
      <c r="AU105" s="206"/>
      <c r="AV105" s="23"/>
      <c r="AW105" s="24"/>
      <c r="AX105" s="83"/>
      <c r="AY105" s="65"/>
      <c r="AZ105" s="84"/>
      <c r="BA105" s="211"/>
      <c r="BB105" s="212"/>
      <c r="BC105" s="84"/>
      <c r="BD105" s="194"/>
      <c r="BE105" s="195"/>
      <c r="BF105" s="84"/>
      <c r="BG105" s="180"/>
      <c r="BH105" s="181"/>
      <c r="BI105" s="84"/>
      <c r="BJ105" s="166"/>
      <c r="BK105" s="167"/>
      <c r="BL105" s="84"/>
      <c r="BM105" s="317"/>
      <c r="BN105" s="318"/>
      <c r="BO105" s="84"/>
      <c r="BP105" s="415"/>
      <c r="BQ105" s="416"/>
      <c r="BR105" s="84"/>
      <c r="BS105" s="442"/>
      <c r="BT105" s="443"/>
      <c r="BU105" s="84"/>
      <c r="BV105" s="186"/>
      <c r="BW105" s="187"/>
      <c r="BX105" s="91"/>
      <c r="BY105" s="186"/>
      <c r="BZ105" s="187"/>
      <c r="CA105" s="92"/>
    </row>
    <row r="106" spans="1:79" customFormat="1" ht="11.45" customHeight="1" x14ac:dyDescent="0.25">
      <c r="A106" s="13"/>
      <c r="B106" s="72" t="s">
        <v>6</v>
      </c>
      <c r="C106" s="16"/>
      <c r="D106" s="316"/>
      <c r="E106" s="316"/>
      <c r="F106" s="16"/>
      <c r="G106" s="201"/>
      <c r="H106" s="202"/>
      <c r="I106" s="14"/>
      <c r="J106" s="315"/>
      <c r="K106" s="315"/>
      <c r="L106" s="16"/>
      <c r="M106" s="226"/>
      <c r="N106" s="226"/>
      <c r="O106" s="16"/>
      <c r="P106" s="201"/>
      <c r="Q106" s="202"/>
      <c r="R106" s="17"/>
      <c r="S106" s="201"/>
      <c r="T106" s="202"/>
      <c r="U106" s="19"/>
      <c r="V106" s="11"/>
      <c r="W106" s="11"/>
      <c r="X106" s="11"/>
      <c r="Y106" s="13"/>
      <c r="Z106" s="72" t="s">
        <v>6</v>
      </c>
      <c r="AA106" s="14"/>
      <c r="AB106" s="205" t="str">
        <f>IF(AB105="","",VLOOKUP(AB105,mco_99,2,FALSE))</f>
        <v/>
      </c>
      <c r="AC106" s="206"/>
      <c r="AD106" s="22"/>
      <c r="AE106" s="287" t="str">
        <f>IF(AE105="","",VLOOKUP(AE105,mco_101,2,FALSE))</f>
        <v/>
      </c>
      <c r="AF106" s="169"/>
      <c r="AG106" s="22"/>
      <c r="AH106" s="313" t="str">
        <f>IF(AH105="","",VLOOKUP(AH105,mco_103,2,FALSE))</f>
        <v/>
      </c>
      <c r="AI106" s="314"/>
      <c r="AJ106" s="14"/>
      <c r="AK106" s="241" t="str">
        <f>IF(AK105="","",VLOOKUP(AK105,mco_105,2,FALSE))</f>
        <v/>
      </c>
      <c r="AL106" s="241"/>
      <c r="AM106" s="14"/>
      <c r="AN106" s="244" t="str">
        <f>IF(AN105="","",VLOOKUP(AN105,mco_89,2,FALSE))</f>
        <v/>
      </c>
      <c r="AO106" s="245"/>
      <c r="AP106" s="14"/>
      <c r="AQ106" s="488" t="str">
        <f>IF(AQ105="","",VLOOKUP(AQ105,mco_91,2,FALSE))</f>
        <v/>
      </c>
      <c r="AR106" s="489"/>
      <c r="AS106" s="14"/>
      <c r="AT106" s="205" t="str">
        <f>IF(AT105="","",VLOOKUP(AT105,mco_95,2,FALSE))</f>
        <v/>
      </c>
      <c r="AU106" s="206"/>
      <c r="AV106" s="23"/>
      <c r="AW106" s="24"/>
      <c r="AX106" s="83"/>
      <c r="AY106" s="72" t="s">
        <v>6</v>
      </c>
      <c r="AZ106" s="84"/>
      <c r="BA106" s="205" t="str">
        <f>IF(BA105="","",VLOOKUP(BA105,gpme_2,2,FALSE))</f>
        <v/>
      </c>
      <c r="BB106" s="206"/>
      <c r="BC106" s="84"/>
      <c r="BD106" s="205" t="str">
        <f>IF(BD105="","",VLOOKUP(BD105,gpme_1,2,FALSE))</f>
        <v/>
      </c>
      <c r="BE106" s="206"/>
      <c r="BF106" s="84"/>
      <c r="BG106" s="182" t="str">
        <f>IF(BG105="","",VLOOKUP(BG105,ndrc_7,2,FALSE))</f>
        <v/>
      </c>
      <c r="BH106" s="183"/>
      <c r="BI106" s="84"/>
      <c r="BJ106" s="201" t="str">
        <f>IF(BJ105="","",VLOOKUP(BJ105,ndrc_5,2,FALSE))</f>
        <v/>
      </c>
      <c r="BK106" s="202"/>
      <c r="BL106" s="84"/>
      <c r="BM106" s="205" t="str">
        <f>IF(BM105="","",VLOOKUP(BM105,rdc_14,2,FALSE))</f>
        <v/>
      </c>
      <c r="BN106" s="206"/>
      <c r="BO106" s="84"/>
      <c r="BP106" s="388"/>
      <c r="BQ106" s="389"/>
      <c r="BR106" s="84"/>
      <c r="BS106" s="435" t="str">
        <f>IF(BS105="","",VLOOKUP(BS105,rh_1,2,FALSE))</f>
        <v/>
      </c>
      <c r="BT106" s="436"/>
      <c r="BU106" s="84"/>
      <c r="BV106" s="164" t="str">
        <f>IF(BV105="","",VLOOKUP(BV105,m_3,2,FALSE))</f>
        <v/>
      </c>
      <c r="BW106" s="165"/>
      <c r="BX106" s="91"/>
      <c r="BY106" s="164" t="str">
        <f>IF(BY105="","",VLOOKUP(BY105,m_3,2,FALSE))</f>
        <v/>
      </c>
      <c r="BZ106" s="165"/>
      <c r="CA106" s="92"/>
    </row>
    <row r="107" spans="1:79" customFormat="1" ht="11.45" customHeight="1" x14ac:dyDescent="0.25">
      <c r="A107" s="13"/>
      <c r="B107" s="66">
        <v>23</v>
      </c>
      <c r="C107" s="16"/>
      <c r="D107" s="312"/>
      <c r="E107" s="312"/>
      <c r="F107" s="16"/>
      <c r="G107" s="226"/>
      <c r="H107" s="226"/>
      <c r="I107" s="14"/>
      <c r="J107" s="310"/>
      <c r="K107" s="311"/>
      <c r="L107" s="16"/>
      <c r="M107" s="241"/>
      <c r="N107" s="241"/>
      <c r="O107" s="16"/>
      <c r="P107" s="201"/>
      <c r="Q107" s="202"/>
      <c r="R107" s="17"/>
      <c r="S107" s="201"/>
      <c r="T107" s="202"/>
      <c r="U107" s="19"/>
      <c r="V107" s="11"/>
      <c r="W107" s="11"/>
      <c r="X107" s="11"/>
      <c r="Y107" s="13"/>
      <c r="Z107" s="66">
        <v>23</v>
      </c>
      <c r="AA107" s="14"/>
      <c r="AB107" s="207"/>
      <c r="AC107" s="208"/>
      <c r="AD107" s="26"/>
      <c r="AE107" s="305"/>
      <c r="AF107" s="169"/>
      <c r="AG107" s="26"/>
      <c r="AH107" s="293"/>
      <c r="AI107" s="294"/>
      <c r="AJ107" s="14"/>
      <c r="AK107" s="241"/>
      <c r="AL107" s="241"/>
      <c r="AM107" s="14"/>
      <c r="AN107" s="246"/>
      <c r="AO107" s="247"/>
      <c r="AP107" s="14"/>
      <c r="AQ107" s="490"/>
      <c r="AR107" s="491"/>
      <c r="AS107" s="14"/>
      <c r="AT107" s="207"/>
      <c r="AU107" s="208"/>
      <c r="AV107" s="27"/>
      <c r="AW107" s="28"/>
      <c r="AX107" s="83"/>
      <c r="AY107" s="66">
        <v>23</v>
      </c>
      <c r="AZ107" s="84"/>
      <c r="BA107" s="207"/>
      <c r="BB107" s="208"/>
      <c r="BC107" s="84"/>
      <c r="BD107" s="207"/>
      <c r="BE107" s="208"/>
      <c r="BF107" s="84"/>
      <c r="BG107" s="182"/>
      <c r="BH107" s="183"/>
      <c r="BI107" s="84"/>
      <c r="BJ107" s="201"/>
      <c r="BK107" s="202"/>
      <c r="BL107" s="84"/>
      <c r="BM107" s="207"/>
      <c r="BN107" s="208"/>
      <c r="BO107" s="84"/>
      <c r="BP107" s="380"/>
      <c r="BQ107" s="381"/>
      <c r="BR107" s="84"/>
      <c r="BS107" s="437"/>
      <c r="BT107" s="438"/>
      <c r="BU107" s="84"/>
      <c r="BV107" s="164"/>
      <c r="BW107" s="165"/>
      <c r="BX107" s="94"/>
      <c r="BY107" s="164"/>
      <c r="BZ107" s="165"/>
      <c r="CA107" s="95"/>
    </row>
    <row r="108" spans="1:79" customFormat="1" ht="11.45" customHeight="1" x14ac:dyDescent="0.25">
      <c r="A108" s="13"/>
      <c r="B108" s="66"/>
      <c r="C108" s="16"/>
      <c r="D108" s="302"/>
      <c r="E108" s="302"/>
      <c r="F108" s="16"/>
      <c r="G108" s="241"/>
      <c r="H108" s="241"/>
      <c r="I108" s="14"/>
      <c r="J108" s="299"/>
      <c r="K108" s="299"/>
      <c r="L108" s="16"/>
      <c r="M108" s="241"/>
      <c r="N108" s="241"/>
      <c r="O108" s="16"/>
      <c r="P108" s="201"/>
      <c r="Q108" s="202"/>
      <c r="R108" s="17"/>
      <c r="S108" s="201"/>
      <c r="T108" s="202"/>
      <c r="U108" s="19"/>
      <c r="V108" s="11"/>
      <c r="W108" s="11"/>
      <c r="X108" s="11"/>
      <c r="Y108" s="13"/>
      <c r="Z108" s="66"/>
      <c r="AA108" s="14"/>
      <c r="AB108" s="207"/>
      <c r="AC108" s="208"/>
      <c r="AD108" s="26"/>
      <c r="AE108" s="319"/>
      <c r="AF108" s="320"/>
      <c r="AG108" s="26"/>
      <c r="AH108" s="321"/>
      <c r="AI108" s="322"/>
      <c r="AJ108" s="14"/>
      <c r="AK108" s="241"/>
      <c r="AL108" s="241"/>
      <c r="AM108" s="14"/>
      <c r="AN108" s="246"/>
      <c r="AO108" s="247"/>
      <c r="AP108" s="14"/>
      <c r="AQ108" s="492"/>
      <c r="AR108" s="493"/>
      <c r="AS108" s="14"/>
      <c r="AT108" s="241"/>
      <c r="AU108" s="241"/>
      <c r="AV108" s="27"/>
      <c r="AW108" s="28"/>
      <c r="AX108" s="83"/>
      <c r="AY108" s="66"/>
      <c r="AZ108" s="84"/>
      <c r="BA108" s="207"/>
      <c r="BB108" s="208"/>
      <c r="BC108" s="84"/>
      <c r="BD108" s="207"/>
      <c r="BE108" s="208"/>
      <c r="BF108" s="84"/>
      <c r="BG108" s="182"/>
      <c r="BH108" s="183"/>
      <c r="BI108" s="84"/>
      <c r="BJ108" s="201"/>
      <c r="BK108" s="202"/>
      <c r="BL108" s="84"/>
      <c r="BM108" s="168"/>
      <c r="BN108" s="169"/>
      <c r="BO108" s="84"/>
      <c r="BP108" s="401"/>
      <c r="BQ108" s="402"/>
      <c r="BR108" s="84"/>
      <c r="BS108" s="439"/>
      <c r="BT108" s="440"/>
      <c r="BU108" s="84"/>
      <c r="BV108" s="168"/>
      <c r="BW108" s="169"/>
      <c r="BX108" s="94"/>
      <c r="BY108" s="168"/>
      <c r="BZ108" s="169"/>
      <c r="CA108" s="95"/>
    </row>
    <row r="109" spans="1:79" customFormat="1" ht="11.45" customHeight="1" x14ac:dyDescent="0.25">
      <c r="A109" s="13"/>
      <c r="B109" s="66"/>
      <c r="C109" s="16"/>
      <c r="D109" s="316"/>
      <c r="E109" s="316"/>
      <c r="F109" s="16"/>
      <c r="G109" s="241"/>
      <c r="H109" s="241"/>
      <c r="I109" s="14"/>
      <c r="J109" s="315"/>
      <c r="K109" s="315"/>
      <c r="L109" s="16"/>
      <c r="M109" s="241"/>
      <c r="N109" s="241"/>
      <c r="O109" s="16"/>
      <c r="P109" s="201"/>
      <c r="Q109" s="202"/>
      <c r="R109" s="17"/>
      <c r="S109" s="201"/>
      <c r="T109" s="202"/>
      <c r="U109" s="19"/>
      <c r="V109" s="11"/>
      <c r="W109" s="11"/>
      <c r="X109" s="11"/>
      <c r="Y109" s="13"/>
      <c r="Z109" s="66"/>
      <c r="AA109" s="14"/>
      <c r="AB109" s="205" t="str">
        <f>IF(AB108="","",VLOOKUP(AB108,mco_99,2,FALSE))</f>
        <v/>
      </c>
      <c r="AC109" s="206"/>
      <c r="AD109" s="22"/>
      <c r="AE109" s="287" t="str">
        <f>IF(AE108="","",VLOOKUP(AE108,mco_101,2,FALSE))</f>
        <v/>
      </c>
      <c r="AF109" s="169"/>
      <c r="AG109" s="22"/>
      <c r="AH109" s="313" t="str">
        <f>IF(AH108="","",VLOOKUP(AH108,mco_103,2,FALSE))</f>
        <v/>
      </c>
      <c r="AI109" s="314"/>
      <c r="AJ109" s="14"/>
      <c r="AK109" s="241" t="str">
        <f>IF(AK108="","",VLOOKUP(AK108,mco_105,2,FALSE))</f>
        <v/>
      </c>
      <c r="AL109" s="241"/>
      <c r="AM109" s="14"/>
      <c r="AN109" s="244" t="str">
        <f>IF(AN108="","",VLOOKUP(AN108,mco_89,2,FALSE))</f>
        <v/>
      </c>
      <c r="AO109" s="245"/>
      <c r="AP109" s="14"/>
      <c r="AQ109" s="488" t="str">
        <f>IF(AQ108="","",VLOOKUP(AQ108,mco_91,2,FALSE))</f>
        <v/>
      </c>
      <c r="AR109" s="489"/>
      <c r="AS109" s="14"/>
      <c r="AT109" s="241" t="str">
        <f>IF(AT108="","",VLOOKUP(AT108,mco_95,2,FALSE))</f>
        <v/>
      </c>
      <c r="AU109" s="241"/>
      <c r="AV109" s="23"/>
      <c r="AW109" s="24"/>
      <c r="AX109" s="83"/>
      <c r="AY109" s="66"/>
      <c r="AZ109" s="84"/>
      <c r="BA109" s="205" t="str">
        <f>IF(BA108="","",VLOOKUP(BA108,gpme_2,2,FALSE))</f>
        <v/>
      </c>
      <c r="BB109" s="206"/>
      <c r="BC109" s="84"/>
      <c r="BD109" s="205" t="str">
        <f>IF(BD108="","",VLOOKUP(BD108,gpme_1,2,FALSE))</f>
        <v/>
      </c>
      <c r="BE109" s="206"/>
      <c r="BF109" s="84"/>
      <c r="BG109" s="182" t="str">
        <f>IF(BG108="","",VLOOKUP(BG108,ndrc_7,2,FALSE))</f>
        <v/>
      </c>
      <c r="BH109" s="183"/>
      <c r="BI109" s="84"/>
      <c r="BJ109" s="201" t="str">
        <f>IF(BJ108="","",VLOOKUP(BJ108,ndrc_5,2,FALSE))</f>
        <v/>
      </c>
      <c r="BK109" s="202"/>
      <c r="BL109" s="84"/>
      <c r="BM109" s="168" t="str">
        <f>IF(BM108="","",VLOOKUP(BM108,rdc_14,2,FALSE))</f>
        <v/>
      </c>
      <c r="BN109" s="169"/>
      <c r="BO109" s="84"/>
      <c r="BP109" s="388"/>
      <c r="BQ109" s="389"/>
      <c r="BR109" s="84"/>
      <c r="BS109" s="435" t="str">
        <f>IF(BS108="","",VLOOKUP(BS108,rh_1,2,FALSE))</f>
        <v/>
      </c>
      <c r="BT109" s="436"/>
      <c r="BU109" s="84"/>
      <c r="BV109" s="168" t="str">
        <f>IF(BV108="","",VLOOKUP(BV108,m_3,2,FALSE))</f>
        <v/>
      </c>
      <c r="BW109" s="169"/>
      <c r="BX109" s="91"/>
      <c r="BY109" s="168" t="str">
        <f>IF(BY108="","",VLOOKUP(BY108,m_3,2,FALSE))</f>
        <v/>
      </c>
      <c r="BZ109" s="169"/>
      <c r="CA109" s="92"/>
    </row>
    <row r="110" spans="1:79" customFormat="1" ht="11.45" customHeight="1" thickBot="1" x14ac:dyDescent="0.3">
      <c r="A110" s="13"/>
      <c r="B110" s="67"/>
      <c r="C110" s="34"/>
      <c r="D110" s="282"/>
      <c r="E110" s="282"/>
      <c r="F110" s="34"/>
      <c r="G110" s="412"/>
      <c r="H110" s="412"/>
      <c r="I110" s="64"/>
      <c r="J110" s="279"/>
      <c r="K110" s="280"/>
      <c r="L110" s="34"/>
      <c r="M110" s="412"/>
      <c r="N110" s="412"/>
      <c r="O110" s="34"/>
      <c r="P110" s="259"/>
      <c r="Q110" s="260"/>
      <c r="R110" s="17"/>
      <c r="S110" s="259"/>
      <c r="T110" s="260"/>
      <c r="U110" s="35"/>
      <c r="V110" s="11"/>
      <c r="W110" s="11"/>
      <c r="X110" s="11"/>
      <c r="Y110" s="13"/>
      <c r="Z110" s="67"/>
      <c r="AA110" s="33"/>
      <c r="AB110" s="209"/>
      <c r="AC110" s="210"/>
      <c r="AD110" s="36"/>
      <c r="AE110" s="291"/>
      <c r="AF110" s="292"/>
      <c r="AG110" s="36"/>
      <c r="AH110" s="413"/>
      <c r="AI110" s="414"/>
      <c r="AJ110" s="33"/>
      <c r="AK110" s="412"/>
      <c r="AL110" s="412"/>
      <c r="AM110" s="33"/>
      <c r="AN110" s="248"/>
      <c r="AO110" s="249"/>
      <c r="AP110" s="33"/>
      <c r="AQ110" s="494"/>
      <c r="AR110" s="495"/>
      <c r="AS110" s="33"/>
      <c r="AT110" s="412"/>
      <c r="AU110" s="412"/>
      <c r="AV110" s="37"/>
      <c r="AW110" s="28"/>
      <c r="AX110" s="97"/>
      <c r="AY110" s="67"/>
      <c r="AZ110" s="97"/>
      <c r="BA110" s="209"/>
      <c r="BB110" s="234"/>
      <c r="BC110" s="97"/>
      <c r="BD110" s="209"/>
      <c r="BE110" s="210"/>
      <c r="BF110" s="97"/>
      <c r="BG110" s="184"/>
      <c r="BH110" s="185"/>
      <c r="BI110" s="97"/>
      <c r="BJ110" s="203"/>
      <c r="BK110" s="421"/>
      <c r="BL110" s="99"/>
      <c r="BM110" s="258"/>
      <c r="BN110" s="196"/>
      <c r="BO110" s="99"/>
      <c r="BP110" s="395"/>
      <c r="BQ110" s="396"/>
      <c r="BR110" s="99"/>
      <c r="BS110" s="444"/>
      <c r="BT110" s="445"/>
      <c r="BU110" s="99"/>
      <c r="BV110" s="258"/>
      <c r="BW110" s="196"/>
      <c r="BX110" s="102"/>
      <c r="BY110" s="258"/>
      <c r="BZ110" s="196"/>
      <c r="CA110" s="103"/>
    </row>
    <row r="111" spans="1:79" customFormat="1" ht="11.45" customHeight="1" x14ac:dyDescent="0.25">
      <c r="A111" s="13"/>
      <c r="B111" s="30"/>
      <c r="C111" s="16"/>
      <c r="D111" s="273"/>
      <c r="E111" s="274"/>
      <c r="F111" s="16"/>
      <c r="G111" s="394"/>
      <c r="H111" s="394"/>
      <c r="I111" s="14"/>
      <c r="J111" s="409"/>
      <c r="K111" s="409"/>
      <c r="L111" s="16"/>
      <c r="M111" s="393"/>
      <c r="N111" s="393"/>
      <c r="O111" s="16"/>
      <c r="P111" s="410"/>
      <c r="Q111" s="411"/>
      <c r="R111" s="17"/>
      <c r="S111" s="166"/>
      <c r="T111" s="167"/>
      <c r="U111" s="19"/>
      <c r="V111" s="11"/>
      <c r="W111" s="11"/>
      <c r="X111" s="11"/>
      <c r="Y111" s="13"/>
      <c r="Z111" s="147"/>
      <c r="AA111" s="14"/>
      <c r="AB111" s="194"/>
      <c r="AC111" s="195"/>
      <c r="AD111" s="26"/>
      <c r="AE111" s="194"/>
      <c r="AF111" s="195"/>
      <c r="AG111" s="26"/>
      <c r="AH111" s="419"/>
      <c r="AI111" s="420"/>
      <c r="AJ111" s="14"/>
      <c r="AK111" s="235"/>
      <c r="AL111" s="236"/>
      <c r="AM111" s="14"/>
      <c r="AN111" s="225"/>
      <c r="AO111" s="225"/>
      <c r="AP111" s="14"/>
      <c r="AQ111" s="225"/>
      <c r="AR111" s="225"/>
      <c r="AS111" s="14"/>
      <c r="AT111" s="174"/>
      <c r="AU111" s="498"/>
      <c r="AV111" s="27"/>
      <c r="AW111" s="28"/>
      <c r="AX111" s="83"/>
      <c r="AY111" s="147"/>
      <c r="AZ111" s="84"/>
      <c r="BA111" s="221"/>
      <c r="BB111" s="222"/>
      <c r="BC111" s="84"/>
      <c r="BD111" s="230"/>
      <c r="BE111" s="231"/>
      <c r="BF111" s="84"/>
      <c r="BG111" s="180"/>
      <c r="BH111" s="181"/>
      <c r="BI111" s="84"/>
      <c r="BJ111" s="194"/>
      <c r="BK111" s="195"/>
      <c r="BL111" s="84"/>
      <c r="BM111" s="166"/>
      <c r="BN111" s="167"/>
      <c r="BO111" s="84"/>
      <c r="BP111" s="415"/>
      <c r="BQ111" s="416"/>
      <c r="BR111" s="84"/>
      <c r="BS111" s="442"/>
      <c r="BT111" s="443"/>
      <c r="BU111" s="84"/>
      <c r="BV111" s="166"/>
      <c r="BW111" s="167"/>
      <c r="BX111" s="94"/>
      <c r="BY111" s="166"/>
      <c r="BZ111" s="167"/>
      <c r="CA111" s="95"/>
    </row>
    <row r="112" spans="1:79" customFormat="1" ht="11.45" customHeight="1" x14ac:dyDescent="0.25">
      <c r="A112" s="13"/>
      <c r="B112" s="29" t="s">
        <v>157</v>
      </c>
      <c r="C112" s="16"/>
      <c r="D112" s="201"/>
      <c r="E112" s="202"/>
      <c r="F112" s="16"/>
      <c r="G112" s="379"/>
      <c r="H112" s="379"/>
      <c r="I112" s="14"/>
      <c r="J112" s="241"/>
      <c r="K112" s="241"/>
      <c r="L112" s="16"/>
      <c r="M112" s="392"/>
      <c r="N112" s="392"/>
      <c r="O112" s="16"/>
      <c r="P112" s="405"/>
      <c r="Q112" s="406"/>
      <c r="R112" s="17"/>
      <c r="S112" s="201"/>
      <c r="T112" s="202"/>
      <c r="U112" s="19"/>
      <c r="V112" s="11"/>
      <c r="W112" s="11"/>
      <c r="X112" s="11"/>
      <c r="Y112" s="13"/>
      <c r="Z112" s="96" t="s">
        <v>157</v>
      </c>
      <c r="AA112" s="14"/>
      <c r="AB112" s="205" t="str">
        <f>IF(AB111="","",VLOOKUP(AB111,mco_99,2,FALSE))</f>
        <v/>
      </c>
      <c r="AC112" s="206"/>
      <c r="AD112" s="22"/>
      <c r="AE112" s="205" t="str">
        <f>IF(AE111="","",VLOOKUP(AE111,mco_101,2,FALSE))</f>
        <v/>
      </c>
      <c r="AF112" s="206"/>
      <c r="AG112" s="22"/>
      <c r="AH112" s="313" t="str">
        <f>IF(AH111="","",VLOOKUP(AH111,mco_103,2,FALSE))</f>
        <v/>
      </c>
      <c r="AI112" s="314"/>
      <c r="AJ112" s="14"/>
      <c r="AK112" s="228" t="str">
        <f>IF(AK111="","",VLOOKUP(AK111,mco_105,2,FALSE))</f>
        <v/>
      </c>
      <c r="AL112" s="229"/>
      <c r="AM112" s="14"/>
      <c r="AN112" s="241" t="str">
        <f>IF(AN111="","",VLOOKUP(AN111,mco_89,2,FALSE))</f>
        <v/>
      </c>
      <c r="AO112" s="241"/>
      <c r="AP112" s="14"/>
      <c r="AQ112" s="241" t="str">
        <f>IF(AQ111="","",VLOOKUP(AQ111,mco_91,2,FALSE))</f>
        <v/>
      </c>
      <c r="AR112" s="241"/>
      <c r="AS112" s="14"/>
      <c r="AT112" s="170" t="str">
        <f>IF(AT111="","",VLOOKUP(AT111,mco_95,2,FALSE))</f>
        <v/>
      </c>
      <c r="AU112" s="499"/>
      <c r="AV112" s="23"/>
      <c r="AW112" s="24"/>
      <c r="AX112" s="83"/>
      <c r="AY112" s="96" t="s">
        <v>157</v>
      </c>
      <c r="AZ112" s="84"/>
      <c r="BA112" s="213" t="str">
        <f>IF(BA111="","",VLOOKUP(BA111,gpme_2,2,FALSE))</f>
        <v/>
      </c>
      <c r="BB112" s="214"/>
      <c r="BC112" s="84"/>
      <c r="BD112" s="275" t="str">
        <f>IF(BD111="","",VLOOKUP(BD111,gpme_1,2,FALSE))</f>
        <v/>
      </c>
      <c r="BE112" s="276"/>
      <c r="BF112" s="84"/>
      <c r="BG112" s="182" t="str">
        <f>IF(BG111="","",VLOOKUP(BG111,ndrc_7,2,FALSE))</f>
        <v/>
      </c>
      <c r="BH112" s="183"/>
      <c r="BI112" s="84"/>
      <c r="BJ112" s="205" t="str">
        <f>IF(BJ111="","",VLOOKUP(BJ111,ndrc_5,2,FALSE))</f>
        <v/>
      </c>
      <c r="BK112" s="206"/>
      <c r="BL112" s="84"/>
      <c r="BM112" s="201" t="str">
        <f>IF(BM111="","",VLOOKUP(BM111,rdc_14,2,FALSE))</f>
        <v/>
      </c>
      <c r="BN112" s="202"/>
      <c r="BO112" s="84"/>
      <c r="BP112" s="388"/>
      <c r="BQ112" s="389"/>
      <c r="BR112" s="84"/>
      <c r="BS112" s="435" t="str">
        <f>IF(BS111="","",VLOOKUP(BS111,rh_1,2,FALSE))</f>
        <v/>
      </c>
      <c r="BT112" s="436"/>
      <c r="BU112" s="84"/>
      <c r="BV112" s="201" t="str">
        <f>IF(BV111="","",VLOOKUP(BV111,m_3,2,FALSE))</f>
        <v/>
      </c>
      <c r="BW112" s="202"/>
      <c r="BX112" s="91"/>
      <c r="BY112" s="201" t="str">
        <f>IF(BY111="","",VLOOKUP(BY111,m_3,2,FALSE))</f>
        <v/>
      </c>
      <c r="BZ112" s="202"/>
      <c r="CA112" s="92"/>
    </row>
    <row r="113" spans="1:79" customFormat="1" ht="11.45" customHeight="1" x14ac:dyDescent="0.25">
      <c r="A113" s="13"/>
      <c r="B113" s="30">
        <v>24</v>
      </c>
      <c r="C113" s="16"/>
      <c r="D113" s="226"/>
      <c r="E113" s="226"/>
      <c r="F113" s="16"/>
      <c r="G113" s="387"/>
      <c r="H113" s="387"/>
      <c r="I113" s="14"/>
      <c r="J113" s="241"/>
      <c r="K113" s="241"/>
      <c r="L113" s="16"/>
      <c r="M113" s="386"/>
      <c r="N113" s="386"/>
      <c r="O113" s="16"/>
      <c r="P113" s="405"/>
      <c r="Q113" s="406"/>
      <c r="R113" s="17"/>
      <c r="S113" s="201"/>
      <c r="T113" s="202"/>
      <c r="U113" s="19"/>
      <c r="V113" s="11"/>
      <c r="W113" s="11"/>
      <c r="X113" s="11"/>
      <c r="Y113" s="13"/>
      <c r="Z113" s="147">
        <v>24</v>
      </c>
      <c r="AA113" s="14"/>
      <c r="AB113" s="207"/>
      <c r="AC113" s="208"/>
      <c r="AD113" s="26"/>
      <c r="AE113" s="207"/>
      <c r="AF113" s="208"/>
      <c r="AG113" s="26"/>
      <c r="AH113" s="306"/>
      <c r="AI113" s="307"/>
      <c r="AJ113" s="14"/>
      <c r="AK113" s="237"/>
      <c r="AL113" s="238"/>
      <c r="AM113" s="14"/>
      <c r="AN113" s="241"/>
      <c r="AO113" s="241"/>
      <c r="AP113" s="14"/>
      <c r="AQ113" s="241"/>
      <c r="AR113" s="241"/>
      <c r="AS113" s="14"/>
      <c r="AT113" s="176"/>
      <c r="AU113" s="177"/>
      <c r="AV113" s="27"/>
      <c r="AW113" s="28"/>
      <c r="AX113" s="83"/>
      <c r="AY113" s="147">
        <v>24</v>
      </c>
      <c r="AZ113" s="84"/>
      <c r="BA113" s="215"/>
      <c r="BB113" s="216"/>
      <c r="BC113" s="84"/>
      <c r="BD113" s="283"/>
      <c r="BE113" s="284"/>
      <c r="BF113" s="84"/>
      <c r="BG113" s="182"/>
      <c r="BH113" s="183"/>
      <c r="BI113" s="84"/>
      <c r="BJ113" s="207"/>
      <c r="BK113" s="208"/>
      <c r="BL113" s="84"/>
      <c r="BM113" s="201"/>
      <c r="BN113" s="202"/>
      <c r="BO113" s="84"/>
      <c r="BP113" s="380"/>
      <c r="BQ113" s="381"/>
      <c r="BR113" s="84"/>
      <c r="BS113" s="437"/>
      <c r="BT113" s="438"/>
      <c r="BU113" s="84"/>
      <c r="BV113" s="201"/>
      <c r="BW113" s="202"/>
      <c r="BX113" s="94"/>
      <c r="BY113" s="201"/>
      <c r="BZ113" s="202"/>
      <c r="CA113" s="95"/>
    </row>
    <row r="114" spans="1:79" customFormat="1" ht="11.45" customHeight="1" x14ac:dyDescent="0.25">
      <c r="A114" s="13"/>
      <c r="B114" s="30"/>
      <c r="C114" s="16"/>
      <c r="D114" s="226"/>
      <c r="E114" s="226"/>
      <c r="F114" s="16"/>
      <c r="G114" s="385"/>
      <c r="H114" s="385"/>
      <c r="I114" s="14"/>
      <c r="J114" s="241"/>
      <c r="K114" s="241"/>
      <c r="L114" s="16"/>
      <c r="M114" s="384"/>
      <c r="N114" s="384"/>
      <c r="O114" s="16"/>
      <c r="P114" s="405"/>
      <c r="Q114" s="406"/>
      <c r="R114" s="17"/>
      <c r="S114" s="201"/>
      <c r="T114" s="202"/>
      <c r="U114" s="19"/>
      <c r="V114" s="11"/>
      <c r="W114" s="11"/>
      <c r="X114" s="11"/>
      <c r="Y114" s="13"/>
      <c r="Z114" s="147"/>
      <c r="AA114" s="14"/>
      <c r="AB114" s="207"/>
      <c r="AC114" s="208"/>
      <c r="AD114" s="26"/>
      <c r="AE114" s="207"/>
      <c r="AF114" s="208"/>
      <c r="AG114" s="26"/>
      <c r="AH114" s="321"/>
      <c r="AI114" s="322"/>
      <c r="AJ114" s="14"/>
      <c r="AK114" s="239"/>
      <c r="AL114" s="240"/>
      <c r="AM114" s="14"/>
      <c r="AN114" s="241"/>
      <c r="AO114" s="241"/>
      <c r="AP114" s="14"/>
      <c r="AQ114" s="241"/>
      <c r="AR114" s="241"/>
      <c r="AS114" s="14"/>
      <c r="AT114" s="178"/>
      <c r="AU114" s="500"/>
      <c r="AV114" s="27"/>
      <c r="AW114" s="28"/>
      <c r="AX114" s="83"/>
      <c r="AY114" s="147"/>
      <c r="AZ114" s="84"/>
      <c r="BA114" s="217"/>
      <c r="BB114" s="218"/>
      <c r="BC114" s="84"/>
      <c r="BD114" s="285"/>
      <c r="BE114" s="286"/>
      <c r="BF114" s="84"/>
      <c r="BG114" s="182"/>
      <c r="BH114" s="183"/>
      <c r="BI114" s="84"/>
      <c r="BJ114" s="207"/>
      <c r="BK114" s="208"/>
      <c r="BL114" s="84"/>
      <c r="BM114" s="201"/>
      <c r="BN114" s="202"/>
      <c r="BO114" s="84"/>
      <c r="BP114" s="401"/>
      <c r="BQ114" s="402"/>
      <c r="BR114" s="84"/>
      <c r="BS114" s="439"/>
      <c r="BT114" s="440"/>
      <c r="BU114" s="84"/>
      <c r="BV114" s="201"/>
      <c r="BW114" s="202"/>
      <c r="BX114" s="94"/>
      <c r="BY114" s="201"/>
      <c r="BZ114" s="202"/>
      <c r="CA114" s="95"/>
    </row>
    <row r="115" spans="1:79" customFormat="1" ht="11.45" customHeight="1" x14ac:dyDescent="0.25">
      <c r="A115" s="13"/>
      <c r="B115" s="30"/>
      <c r="C115" s="16"/>
      <c r="D115" s="226"/>
      <c r="E115" s="226"/>
      <c r="F115" s="16"/>
      <c r="G115" s="379"/>
      <c r="H115" s="379"/>
      <c r="I115" s="14"/>
      <c r="J115" s="241"/>
      <c r="K115" s="241"/>
      <c r="L115" s="16"/>
      <c r="M115" s="392"/>
      <c r="N115" s="392"/>
      <c r="O115" s="16"/>
      <c r="P115" s="405"/>
      <c r="Q115" s="406"/>
      <c r="R115" s="17"/>
      <c r="S115" s="201"/>
      <c r="T115" s="202"/>
      <c r="U115" s="19"/>
      <c r="V115" s="11"/>
      <c r="W115" s="11"/>
      <c r="X115" s="11"/>
      <c r="Y115" s="13"/>
      <c r="Z115" s="147"/>
      <c r="AA115" s="14"/>
      <c r="AB115" s="205" t="str">
        <f>IF(AB114="","",VLOOKUP(AB114,mco_99,2,FALSE))</f>
        <v/>
      </c>
      <c r="AC115" s="206"/>
      <c r="AD115" s="22"/>
      <c r="AE115" s="205" t="str">
        <f>IF(AE114="","",VLOOKUP(AE114,mco_101,2,FALSE))</f>
        <v/>
      </c>
      <c r="AF115" s="206"/>
      <c r="AG115" s="22"/>
      <c r="AH115" s="313" t="str">
        <f>IF(AH114="","",VLOOKUP(AH114,mco_103,2,FALSE))</f>
        <v/>
      </c>
      <c r="AI115" s="314"/>
      <c r="AJ115" s="14"/>
      <c r="AK115" s="228" t="str">
        <f>IF(AK114="","",VLOOKUP(AK114,mco_105,2,FALSE))</f>
        <v/>
      </c>
      <c r="AL115" s="229"/>
      <c r="AM115" s="14"/>
      <c r="AN115" s="241" t="str">
        <f>IF(AN114="","",VLOOKUP(AN114,mco_89,2,FALSE))</f>
        <v/>
      </c>
      <c r="AO115" s="241"/>
      <c r="AP115" s="14"/>
      <c r="AQ115" s="241" t="str">
        <f>IF(AQ114="","",VLOOKUP(AQ114,mco_91,2,FALSE))</f>
        <v/>
      </c>
      <c r="AR115" s="241"/>
      <c r="AS115" s="14"/>
      <c r="AT115" s="170" t="str">
        <f>IF(AT114="","",VLOOKUP(AT114,mco_95,2,FALSE))</f>
        <v/>
      </c>
      <c r="AU115" s="499"/>
      <c r="AV115" s="23"/>
      <c r="AW115" s="24"/>
      <c r="AX115" s="83"/>
      <c r="AY115" s="147"/>
      <c r="AZ115" s="84"/>
      <c r="BA115" s="213" t="str">
        <f>IF(BA114="","",VLOOKUP(BA114,gpme_2,2,FALSE))</f>
        <v/>
      </c>
      <c r="BB115" s="214"/>
      <c r="BC115" s="84"/>
      <c r="BD115" s="275" t="str">
        <f>IF(BD114="","",VLOOKUP(BD114,gpme_1,2,FALSE))</f>
        <v/>
      </c>
      <c r="BE115" s="276"/>
      <c r="BF115" s="84"/>
      <c r="BG115" s="182" t="str">
        <f>IF(BG114="","",VLOOKUP(BG114,ndrc_7,2,FALSE))</f>
        <v/>
      </c>
      <c r="BH115" s="183"/>
      <c r="BI115" s="84"/>
      <c r="BJ115" s="205" t="str">
        <f>IF(BJ114="","",VLOOKUP(BJ114,ndrc_5,2,FALSE))</f>
        <v/>
      </c>
      <c r="BK115" s="206"/>
      <c r="BL115" s="84"/>
      <c r="BM115" s="201" t="str">
        <f>IF(BM114="","",VLOOKUP(BM114,rdc_14,2,FALSE))</f>
        <v/>
      </c>
      <c r="BN115" s="202"/>
      <c r="BO115" s="84"/>
      <c r="BP115" s="388"/>
      <c r="BQ115" s="389"/>
      <c r="BR115" s="84"/>
      <c r="BS115" s="435" t="str">
        <f>IF(BS114="","",VLOOKUP(BS114,rh_1,2,FALSE))</f>
        <v/>
      </c>
      <c r="BT115" s="436"/>
      <c r="BU115" s="84"/>
      <c r="BV115" s="201" t="str">
        <f>IF(BV114="","",VLOOKUP(BV114,m_3,2,FALSE))</f>
        <v/>
      </c>
      <c r="BW115" s="202"/>
      <c r="BX115" s="91"/>
      <c r="BY115" s="201" t="str">
        <f>IF(BY114="","",VLOOKUP(BY114,m_3,2,FALSE))</f>
        <v/>
      </c>
      <c r="BZ115" s="202"/>
      <c r="CA115" s="92"/>
    </row>
    <row r="116" spans="1:79" customFormat="1" ht="11.45" customHeight="1" thickBot="1" x14ac:dyDescent="0.3">
      <c r="A116" s="31"/>
      <c r="B116" s="32"/>
      <c r="C116" s="16"/>
      <c r="D116" s="226"/>
      <c r="E116" s="226"/>
      <c r="F116" s="16"/>
      <c r="G116" s="377"/>
      <c r="H116" s="377"/>
      <c r="I116" s="14"/>
      <c r="J116" s="290"/>
      <c r="K116" s="290"/>
      <c r="L116" s="16"/>
      <c r="M116" s="376"/>
      <c r="N116" s="376"/>
      <c r="O116" s="16"/>
      <c r="P116" s="397"/>
      <c r="Q116" s="398"/>
      <c r="R116" s="17"/>
      <c r="S116" s="203"/>
      <c r="T116" s="204"/>
      <c r="U116" s="19"/>
      <c r="V116" s="11"/>
      <c r="W116" s="11"/>
      <c r="X116" s="11"/>
      <c r="Y116" s="31"/>
      <c r="Z116" s="98"/>
      <c r="AA116" s="14"/>
      <c r="AB116" s="209"/>
      <c r="AC116" s="210"/>
      <c r="AD116" s="26"/>
      <c r="AE116" s="209"/>
      <c r="AF116" s="210"/>
      <c r="AG116" s="26"/>
      <c r="AH116" s="293"/>
      <c r="AI116" s="294"/>
      <c r="AJ116" s="14"/>
      <c r="AK116" s="223"/>
      <c r="AL116" s="224"/>
      <c r="AM116" s="14"/>
      <c r="AN116" s="290"/>
      <c r="AO116" s="290"/>
      <c r="AP116" s="14"/>
      <c r="AQ116" s="290"/>
      <c r="AR116" s="290"/>
      <c r="AS116" s="14"/>
      <c r="AT116" s="501"/>
      <c r="AU116" s="502"/>
      <c r="AV116" s="27"/>
      <c r="AW116" s="28"/>
      <c r="AX116" s="97"/>
      <c r="AY116" s="98"/>
      <c r="AZ116" s="84"/>
      <c r="BA116" s="219"/>
      <c r="BB116" s="220"/>
      <c r="BC116" s="84"/>
      <c r="BD116" s="277"/>
      <c r="BE116" s="278"/>
      <c r="BF116" s="84"/>
      <c r="BG116" s="184"/>
      <c r="BH116" s="185"/>
      <c r="BI116" s="84"/>
      <c r="BJ116" s="209"/>
      <c r="BK116" s="210"/>
      <c r="BL116" s="84"/>
      <c r="BM116" s="259"/>
      <c r="BN116" s="260"/>
      <c r="BO116" s="84"/>
      <c r="BP116" s="395"/>
      <c r="BQ116" s="396"/>
      <c r="BR116" s="84"/>
      <c r="BS116" s="444"/>
      <c r="BT116" s="445"/>
      <c r="BU116" s="84"/>
      <c r="BV116" s="259"/>
      <c r="BW116" s="260"/>
      <c r="BX116" s="94"/>
      <c r="BY116" s="259"/>
      <c r="BZ116" s="260"/>
      <c r="CA116" s="95"/>
    </row>
    <row r="117" spans="1:79" customFormat="1" ht="11.45" customHeight="1" x14ac:dyDescent="0.25">
      <c r="A117" s="13"/>
      <c r="B117" s="25"/>
      <c r="C117" s="16"/>
      <c r="D117" s="225"/>
      <c r="E117" s="225"/>
      <c r="F117" s="16"/>
      <c r="G117" s="394"/>
      <c r="H117" s="394"/>
      <c r="I117" s="14"/>
      <c r="J117" s="371"/>
      <c r="K117" s="371"/>
      <c r="L117" s="16"/>
      <c r="M117" s="393"/>
      <c r="N117" s="393"/>
      <c r="O117" s="16"/>
      <c r="P117" s="273"/>
      <c r="Q117" s="274"/>
      <c r="R117" s="17"/>
      <c r="S117" s="194"/>
      <c r="T117" s="195"/>
      <c r="U117" s="19"/>
      <c r="V117" s="11"/>
      <c r="W117" s="11"/>
      <c r="X117" s="11"/>
      <c r="Y117" s="13"/>
      <c r="Z117" s="93"/>
      <c r="AA117" s="14"/>
      <c r="AB117" s="194"/>
      <c r="AC117" s="195"/>
      <c r="AD117" s="26"/>
      <c r="AE117" s="194"/>
      <c r="AF117" s="195"/>
      <c r="AG117" s="26"/>
      <c r="AH117" s="194"/>
      <c r="AI117" s="195"/>
      <c r="AJ117" s="14"/>
      <c r="AK117" s="235"/>
      <c r="AL117" s="236"/>
      <c r="AM117" s="14"/>
      <c r="AN117" s="194"/>
      <c r="AO117" s="195"/>
      <c r="AP117" s="14"/>
      <c r="AQ117" s="194"/>
      <c r="AR117" s="195"/>
      <c r="AS117" s="14"/>
      <c r="AT117" s="174"/>
      <c r="AU117" s="498"/>
      <c r="AV117" s="27"/>
      <c r="AW117" s="28"/>
      <c r="AX117" s="83"/>
      <c r="AY117" s="93"/>
      <c r="AZ117" s="84"/>
      <c r="BA117" s="221"/>
      <c r="BB117" s="222"/>
      <c r="BC117" s="84"/>
      <c r="BD117" s="230"/>
      <c r="BE117" s="231"/>
      <c r="BF117" s="84"/>
      <c r="BG117" s="180"/>
      <c r="BH117" s="181"/>
      <c r="BI117" s="84"/>
      <c r="BJ117" s="194"/>
      <c r="BK117" s="195"/>
      <c r="BL117" s="84"/>
      <c r="BM117" s="399"/>
      <c r="BN117" s="400"/>
      <c r="BO117" s="84"/>
      <c r="BP117" s="401"/>
      <c r="BQ117" s="402"/>
      <c r="BR117" s="84"/>
      <c r="BS117" s="442"/>
      <c r="BT117" s="443"/>
      <c r="BU117" s="84"/>
      <c r="BV117" s="186"/>
      <c r="BW117" s="187"/>
      <c r="BX117" s="94"/>
      <c r="BY117" s="186"/>
      <c r="BZ117" s="187"/>
      <c r="CA117" s="95"/>
    </row>
    <row r="118" spans="1:79" customFormat="1" ht="11.45" customHeight="1" x14ac:dyDescent="0.25">
      <c r="A118" s="13"/>
      <c r="B118" s="29" t="s">
        <v>7</v>
      </c>
      <c r="C118" s="16"/>
      <c r="D118" s="226"/>
      <c r="E118" s="226"/>
      <c r="F118" s="16"/>
      <c r="G118" s="379"/>
      <c r="H118" s="379"/>
      <c r="I118" s="14"/>
      <c r="J118" s="226"/>
      <c r="K118" s="226"/>
      <c r="L118" s="16"/>
      <c r="M118" s="392"/>
      <c r="N118" s="392"/>
      <c r="O118" s="16"/>
      <c r="P118" s="201"/>
      <c r="Q118" s="202"/>
      <c r="R118" s="17"/>
      <c r="S118" s="201"/>
      <c r="T118" s="202"/>
      <c r="U118" s="19"/>
      <c r="V118" s="11"/>
      <c r="W118" s="11"/>
      <c r="X118" s="11"/>
      <c r="Y118" s="13"/>
      <c r="Z118" s="96" t="s">
        <v>7</v>
      </c>
      <c r="AA118" s="14"/>
      <c r="AB118" s="205" t="str">
        <f>IF(AB117="","",VLOOKUP(AB117,mco_99,2,FALSE))</f>
        <v/>
      </c>
      <c r="AC118" s="206"/>
      <c r="AD118" s="22"/>
      <c r="AE118" s="205" t="str">
        <f>IF(AE117="","",VLOOKUP(AE117,mco_101,2,FALSE))</f>
        <v/>
      </c>
      <c r="AF118" s="206"/>
      <c r="AG118" s="22"/>
      <c r="AH118" s="205" t="str">
        <f>IF(AH117="","",VLOOKUP(AH117,mco_103,2,FALSE))</f>
        <v/>
      </c>
      <c r="AI118" s="206"/>
      <c r="AJ118" s="14"/>
      <c r="AK118" s="228" t="str">
        <f>IF(AK117="","",VLOOKUP(AK117,mco_105,2,FALSE))</f>
        <v/>
      </c>
      <c r="AL118" s="229"/>
      <c r="AM118" s="14"/>
      <c r="AN118" s="205" t="str">
        <f>IF(AN117="","",VLOOKUP(AN117,mco_89,2,FALSE))</f>
        <v/>
      </c>
      <c r="AO118" s="206"/>
      <c r="AP118" s="14"/>
      <c r="AQ118" s="205" t="str">
        <f>IF(AQ117="","",VLOOKUP(AQ117,mco_91,2,FALSE))</f>
        <v/>
      </c>
      <c r="AR118" s="206"/>
      <c r="AS118" s="14"/>
      <c r="AT118" s="170" t="str">
        <f>IF(AT117="","",VLOOKUP(AT117,mco_95,2,FALSE))</f>
        <v/>
      </c>
      <c r="AU118" s="499"/>
      <c r="AV118" s="23"/>
      <c r="AW118" s="24"/>
      <c r="AX118" s="83"/>
      <c r="AY118" s="96" t="s">
        <v>7</v>
      </c>
      <c r="AZ118" s="84"/>
      <c r="BA118" s="213" t="str">
        <f>IF(BA117="","",VLOOKUP(BA117,gpme_2,2,FALSE))</f>
        <v/>
      </c>
      <c r="BB118" s="214"/>
      <c r="BC118" s="84"/>
      <c r="BD118" s="275" t="str">
        <f>IF(BD117="","",VLOOKUP(BD117,gpme_1,2,FALSE))</f>
        <v/>
      </c>
      <c r="BE118" s="276"/>
      <c r="BF118" s="84"/>
      <c r="BG118" s="182" t="str">
        <f>IF(BG117="","",VLOOKUP(BG117,ndrc_7,2,FALSE))</f>
        <v/>
      </c>
      <c r="BH118" s="183"/>
      <c r="BI118" s="84"/>
      <c r="BJ118" s="205" t="str">
        <f>IF(BJ117="","",VLOOKUP(BJ117,ndrc_5,2,FALSE))</f>
        <v/>
      </c>
      <c r="BK118" s="206"/>
      <c r="BL118" s="84"/>
      <c r="BM118" s="374" t="str">
        <f>IF(BM117="","",VLOOKUP(BM117,rdc_14,2,FALSE))</f>
        <v/>
      </c>
      <c r="BN118" s="375"/>
      <c r="BO118" s="84"/>
      <c r="BP118" s="388"/>
      <c r="BQ118" s="389"/>
      <c r="BR118" s="84"/>
      <c r="BS118" s="435" t="str">
        <f>IF(BS117="","",VLOOKUP(BS117,rh_1,2,FALSE))</f>
        <v/>
      </c>
      <c r="BT118" s="436"/>
      <c r="BU118" s="84"/>
      <c r="BV118" s="164" t="str">
        <f>IF(BV117="","",VLOOKUP(BV117,m_3,2,FALSE))</f>
        <v/>
      </c>
      <c r="BW118" s="165"/>
      <c r="BX118" s="91"/>
      <c r="BY118" s="164" t="str">
        <f>IF(BY117="","",VLOOKUP(BY117,m_3,2,FALSE))</f>
        <v/>
      </c>
      <c r="BZ118" s="165"/>
      <c r="CA118" s="92"/>
    </row>
    <row r="119" spans="1:79" customFormat="1" ht="14.45" customHeight="1" x14ac:dyDescent="0.25">
      <c r="A119" s="13"/>
      <c r="B119" s="368">
        <v>25</v>
      </c>
      <c r="C119" s="16"/>
      <c r="D119" s="226"/>
      <c r="E119" s="226"/>
      <c r="F119" s="16"/>
      <c r="G119" s="387"/>
      <c r="H119" s="387"/>
      <c r="I119" s="14"/>
      <c r="J119" s="226"/>
      <c r="K119" s="226"/>
      <c r="L119" s="16"/>
      <c r="M119" s="386"/>
      <c r="N119" s="386"/>
      <c r="O119" s="16"/>
      <c r="P119" s="201"/>
      <c r="Q119" s="202"/>
      <c r="R119" s="17"/>
      <c r="S119" s="201"/>
      <c r="T119" s="202"/>
      <c r="U119" s="19"/>
      <c r="V119" s="11"/>
      <c r="W119" s="11"/>
      <c r="X119" s="11"/>
      <c r="Y119" s="13"/>
      <c r="Z119" s="368">
        <v>25</v>
      </c>
      <c r="AA119" s="14"/>
      <c r="AB119" s="207"/>
      <c r="AC119" s="208"/>
      <c r="AD119" s="26"/>
      <c r="AE119" s="207"/>
      <c r="AF119" s="208"/>
      <c r="AG119" s="26"/>
      <c r="AH119" s="207"/>
      <c r="AI119" s="208"/>
      <c r="AJ119" s="14"/>
      <c r="AK119" s="237"/>
      <c r="AL119" s="238"/>
      <c r="AM119" s="14"/>
      <c r="AN119" s="207"/>
      <c r="AO119" s="208"/>
      <c r="AP119" s="14"/>
      <c r="AQ119" s="207"/>
      <c r="AR119" s="208"/>
      <c r="AS119" s="14"/>
      <c r="AT119" s="176"/>
      <c r="AU119" s="177"/>
      <c r="AV119" s="27"/>
      <c r="AW119" s="28"/>
      <c r="AX119" s="83"/>
      <c r="AY119" s="368">
        <v>25</v>
      </c>
      <c r="AZ119" s="84"/>
      <c r="BA119" s="215"/>
      <c r="BB119" s="216"/>
      <c r="BC119" s="84"/>
      <c r="BD119" s="283"/>
      <c r="BE119" s="284"/>
      <c r="BF119" s="84"/>
      <c r="BG119" s="182"/>
      <c r="BH119" s="183"/>
      <c r="BI119" s="84"/>
      <c r="BJ119" s="207"/>
      <c r="BK119" s="208"/>
      <c r="BL119" s="84"/>
      <c r="BM119" s="207"/>
      <c r="BN119" s="208"/>
      <c r="BO119" s="84"/>
      <c r="BP119" s="380"/>
      <c r="BQ119" s="381"/>
      <c r="BR119" s="84"/>
      <c r="BS119" s="437"/>
      <c r="BT119" s="438"/>
      <c r="BU119" s="84"/>
      <c r="BV119" s="164"/>
      <c r="BW119" s="165"/>
      <c r="BX119" s="94"/>
      <c r="BY119" s="164"/>
      <c r="BZ119" s="165"/>
      <c r="CA119" s="95"/>
    </row>
    <row r="120" spans="1:79" customFormat="1" ht="14.45" customHeight="1" x14ac:dyDescent="0.25">
      <c r="A120" s="13"/>
      <c r="B120" s="368"/>
      <c r="C120" s="16"/>
      <c r="D120" s="226"/>
      <c r="E120" s="226"/>
      <c r="F120" s="16"/>
      <c r="G120" s="385"/>
      <c r="H120" s="385"/>
      <c r="I120" s="14"/>
      <c r="J120" s="363"/>
      <c r="K120" s="363"/>
      <c r="L120" s="16"/>
      <c r="M120" s="384"/>
      <c r="N120" s="384"/>
      <c r="O120" s="16"/>
      <c r="P120" s="201"/>
      <c r="Q120" s="202"/>
      <c r="R120" s="17"/>
      <c r="S120" s="201"/>
      <c r="T120" s="202"/>
      <c r="U120" s="19"/>
      <c r="V120" s="11"/>
      <c r="W120" s="11"/>
      <c r="X120" s="11"/>
      <c r="Y120" s="13"/>
      <c r="Z120" s="368"/>
      <c r="AA120" s="14"/>
      <c r="AB120" s="207"/>
      <c r="AC120" s="208"/>
      <c r="AD120" s="26"/>
      <c r="AE120" s="207"/>
      <c r="AF120" s="208"/>
      <c r="AG120" s="26"/>
      <c r="AH120" s="207"/>
      <c r="AI120" s="208"/>
      <c r="AJ120" s="14"/>
      <c r="AK120" s="239"/>
      <c r="AL120" s="240"/>
      <c r="AM120" s="14"/>
      <c r="AN120" s="207"/>
      <c r="AO120" s="208"/>
      <c r="AP120" s="14"/>
      <c r="AQ120" s="207"/>
      <c r="AR120" s="208"/>
      <c r="AS120" s="14"/>
      <c r="AT120" s="178"/>
      <c r="AU120" s="500"/>
      <c r="AV120" s="27"/>
      <c r="AW120" s="28"/>
      <c r="AX120" s="83"/>
      <c r="AY120" s="368"/>
      <c r="AZ120" s="84"/>
      <c r="BA120" s="217"/>
      <c r="BB120" s="218"/>
      <c r="BC120" s="84"/>
      <c r="BD120" s="285"/>
      <c r="BE120" s="286"/>
      <c r="BF120" s="84"/>
      <c r="BG120" s="182"/>
      <c r="BH120" s="183"/>
      <c r="BI120" s="84"/>
      <c r="BJ120" s="207"/>
      <c r="BK120" s="208"/>
      <c r="BL120" s="84"/>
      <c r="BM120" s="267"/>
      <c r="BN120" s="268"/>
      <c r="BO120" s="84"/>
      <c r="BP120" s="164"/>
      <c r="BQ120" s="165"/>
      <c r="BR120" s="84"/>
      <c r="BS120" s="164"/>
      <c r="BT120" s="165"/>
      <c r="BU120" s="84"/>
      <c r="BV120" s="164"/>
      <c r="BW120" s="165"/>
      <c r="BX120" s="94"/>
      <c r="BY120" s="164"/>
      <c r="BZ120" s="165"/>
      <c r="CA120" s="95"/>
    </row>
    <row r="121" spans="1:79" customFormat="1" ht="11.45" customHeight="1" x14ac:dyDescent="0.25">
      <c r="A121" s="13"/>
      <c r="B121" s="30"/>
      <c r="C121" s="16"/>
      <c r="D121" s="226"/>
      <c r="E121" s="226"/>
      <c r="F121" s="16"/>
      <c r="G121" s="379"/>
      <c r="H121" s="379"/>
      <c r="I121" s="14"/>
      <c r="J121" s="226"/>
      <c r="K121" s="226"/>
      <c r="L121" s="16"/>
      <c r="M121" s="378"/>
      <c r="N121" s="378"/>
      <c r="O121" s="16"/>
      <c r="P121" s="201"/>
      <c r="Q121" s="202"/>
      <c r="R121" s="17"/>
      <c r="S121" s="201"/>
      <c r="T121" s="202"/>
      <c r="U121" s="19"/>
      <c r="V121" s="11"/>
      <c r="W121" s="11"/>
      <c r="X121" s="11"/>
      <c r="Y121" s="13"/>
      <c r="Z121" s="147"/>
      <c r="AA121" s="14"/>
      <c r="AB121" s="205" t="str">
        <f>IF(AB120="","",VLOOKUP(AB120,mco_99,2,FALSE))</f>
        <v/>
      </c>
      <c r="AC121" s="206"/>
      <c r="AD121" s="22"/>
      <c r="AE121" s="205" t="str">
        <f>IF(AE120="","",VLOOKUP(AE120,mco_101,2,FALSE))</f>
        <v/>
      </c>
      <c r="AF121" s="206"/>
      <c r="AG121" s="22"/>
      <c r="AH121" s="205" t="str">
        <f>IF(AH120="","",VLOOKUP(AH120,mco_103,2,FALSE))</f>
        <v/>
      </c>
      <c r="AI121" s="206"/>
      <c r="AJ121" s="14"/>
      <c r="AK121" s="228" t="str">
        <f>IF(AK120="","",VLOOKUP(AK120,mco_105,2,FALSE))</f>
        <v/>
      </c>
      <c r="AL121" s="229"/>
      <c r="AM121" s="14"/>
      <c r="AN121" s="205" t="str">
        <f>IF(AN120="","",VLOOKUP(AN120,mco_89,2,FALSE))</f>
        <v/>
      </c>
      <c r="AO121" s="206"/>
      <c r="AP121" s="14"/>
      <c r="AQ121" s="205" t="str">
        <f>IF(AQ120="","",VLOOKUP(AQ120,mco_91,2,FALSE))</f>
        <v/>
      </c>
      <c r="AR121" s="206"/>
      <c r="AS121" s="14"/>
      <c r="AT121" s="170" t="str">
        <f>IF(AT120="","",VLOOKUP(AT120,mco_95,2,FALSE))</f>
        <v/>
      </c>
      <c r="AU121" s="499"/>
      <c r="AV121" s="23"/>
      <c r="AW121" s="24"/>
      <c r="AX121" s="83"/>
      <c r="AY121" s="147"/>
      <c r="AZ121" s="84"/>
      <c r="BA121" s="213" t="str">
        <f>IF(BA120="","",VLOOKUP(BA120,gpme_2,2,FALSE))</f>
        <v/>
      </c>
      <c r="BB121" s="214"/>
      <c r="BC121" s="84"/>
      <c r="BD121" s="275" t="str">
        <f>IF(BD120="","",VLOOKUP(BD120,gpme_1,2,FALSE))</f>
        <v/>
      </c>
      <c r="BE121" s="276"/>
      <c r="BF121" s="84"/>
      <c r="BG121" s="182" t="str">
        <f>IF(BG120="","",VLOOKUP(BG120,ndrc_7,2,FALSE))</f>
        <v/>
      </c>
      <c r="BH121" s="183"/>
      <c r="BI121" s="84"/>
      <c r="BJ121" s="205" t="str">
        <f>IF(BJ120="","",VLOOKUP(BJ120,ndrc_5,2,FALSE))</f>
        <v/>
      </c>
      <c r="BK121" s="206"/>
      <c r="BL121" s="84"/>
      <c r="BM121" s="374" t="str">
        <f>IF(BM120="","",VLOOKUP(BM120,rdc_14,2,FALSE))</f>
        <v/>
      </c>
      <c r="BN121" s="375"/>
      <c r="BO121" s="84"/>
      <c r="BP121" s="164" t="str">
        <f>IF(BP120="","",VLOOKUP(BP120,rdc_16,2,FALSE))</f>
        <v/>
      </c>
      <c r="BQ121" s="165"/>
      <c r="BR121" s="84"/>
      <c r="BS121" s="164" t="str">
        <f>IF(BS120="","",VLOOKUP(BS120,m_3,2,FALSE))</f>
        <v/>
      </c>
      <c r="BT121" s="165"/>
      <c r="BU121" s="84"/>
      <c r="BV121" s="164" t="str">
        <f>IF(BV120="","",VLOOKUP(BV120,m_3,2,FALSE))</f>
        <v/>
      </c>
      <c r="BW121" s="165"/>
      <c r="BX121" s="91"/>
      <c r="BY121" s="164" t="str">
        <f>IF(BY120="","",VLOOKUP(BY120,m_3,2,FALSE))</f>
        <v/>
      </c>
      <c r="BZ121" s="165"/>
      <c r="CA121" s="92"/>
    </row>
    <row r="122" spans="1:79" customFormat="1" ht="11.45" customHeight="1" thickBot="1" x14ac:dyDescent="0.3">
      <c r="A122" s="13"/>
      <c r="B122" s="32"/>
      <c r="C122" s="16"/>
      <c r="D122" s="281"/>
      <c r="E122" s="281"/>
      <c r="F122" s="16"/>
      <c r="G122" s="377"/>
      <c r="H122" s="377"/>
      <c r="I122" s="14"/>
      <c r="J122" s="281"/>
      <c r="K122" s="281"/>
      <c r="L122" s="16"/>
      <c r="M122" s="376"/>
      <c r="N122" s="376"/>
      <c r="O122" s="16"/>
      <c r="P122" s="203"/>
      <c r="Q122" s="204"/>
      <c r="R122" s="17"/>
      <c r="S122" s="203"/>
      <c r="T122" s="204"/>
      <c r="U122" s="19"/>
      <c r="V122" s="11"/>
      <c r="W122" s="11"/>
      <c r="X122" s="11"/>
      <c r="Y122" s="13"/>
      <c r="Z122" s="98"/>
      <c r="AA122" s="14"/>
      <c r="AB122" s="209"/>
      <c r="AC122" s="210"/>
      <c r="AD122" s="26"/>
      <c r="AE122" s="209"/>
      <c r="AF122" s="210"/>
      <c r="AG122" s="26"/>
      <c r="AH122" s="209"/>
      <c r="AI122" s="210"/>
      <c r="AJ122" s="14"/>
      <c r="AK122" s="223"/>
      <c r="AL122" s="224"/>
      <c r="AM122" s="14"/>
      <c r="AN122" s="209"/>
      <c r="AO122" s="210"/>
      <c r="AP122" s="14"/>
      <c r="AQ122" s="209"/>
      <c r="AR122" s="210"/>
      <c r="AS122" s="14"/>
      <c r="AT122" s="501"/>
      <c r="AU122" s="502"/>
      <c r="AV122" s="27"/>
      <c r="AW122" s="28"/>
      <c r="AX122" s="83"/>
      <c r="AY122" s="98"/>
      <c r="AZ122" s="100"/>
      <c r="BA122" s="219"/>
      <c r="BB122" s="220"/>
      <c r="BC122" s="100"/>
      <c r="BD122" s="277"/>
      <c r="BE122" s="278"/>
      <c r="BF122" s="100"/>
      <c r="BG122" s="184"/>
      <c r="BH122" s="185"/>
      <c r="BI122" s="100"/>
      <c r="BJ122" s="209"/>
      <c r="BK122" s="210"/>
      <c r="BL122" s="84"/>
      <c r="BM122" s="369"/>
      <c r="BN122" s="370"/>
      <c r="BO122" s="84"/>
      <c r="BP122" s="199"/>
      <c r="BQ122" s="200"/>
      <c r="BR122" s="84"/>
      <c r="BS122" s="199"/>
      <c r="BT122" s="200"/>
      <c r="BU122" s="84"/>
      <c r="BV122" s="199"/>
      <c r="BW122" s="200"/>
      <c r="BX122" s="94"/>
      <c r="BY122" s="199"/>
      <c r="BZ122" s="200"/>
      <c r="CA122" s="95"/>
    </row>
    <row r="123" spans="1:79" s="116" customFormat="1" ht="6.6" customHeight="1" thickBot="1" x14ac:dyDescent="0.3">
      <c r="A123" s="83"/>
      <c r="B123" s="122"/>
      <c r="C123" s="86"/>
      <c r="D123" s="124"/>
      <c r="E123" s="107"/>
      <c r="F123" s="86"/>
      <c r="G123" s="124"/>
      <c r="H123" s="124"/>
      <c r="I123" s="123"/>
      <c r="J123" s="124"/>
      <c r="K123" s="124"/>
      <c r="L123" s="86"/>
      <c r="M123" s="107"/>
      <c r="N123" s="124"/>
      <c r="O123" s="86"/>
      <c r="P123" s="124"/>
      <c r="Q123" s="124"/>
      <c r="R123" s="126"/>
      <c r="S123" s="124"/>
      <c r="T123" s="124"/>
      <c r="U123" s="87"/>
      <c r="V123" s="11"/>
      <c r="W123" s="11"/>
      <c r="X123" s="11"/>
      <c r="Y123" s="83"/>
      <c r="Z123" s="122"/>
      <c r="AA123" s="86"/>
      <c r="AB123" s="125"/>
      <c r="AC123" s="125"/>
      <c r="AD123" s="94"/>
      <c r="AE123" s="124"/>
      <c r="AF123" s="124"/>
      <c r="AG123" s="132"/>
      <c r="AH123" s="133"/>
      <c r="AI123" s="133"/>
      <c r="AJ123" s="123"/>
      <c r="AK123" s="133"/>
      <c r="AL123" s="134"/>
      <c r="AM123" s="84"/>
      <c r="AN123" s="124"/>
      <c r="AO123" s="107"/>
      <c r="AP123" s="86"/>
      <c r="AQ123" s="124"/>
      <c r="AR123" s="124"/>
      <c r="AS123" s="86"/>
      <c r="AT123" s="124"/>
      <c r="AU123" s="107"/>
      <c r="AV123" s="95"/>
      <c r="AW123" s="28"/>
      <c r="AX123" s="83"/>
      <c r="AY123" s="122"/>
      <c r="AZ123" s="123"/>
      <c r="BA123" s="107"/>
      <c r="BB123" s="107"/>
      <c r="BC123" s="123"/>
      <c r="BD123" s="107"/>
      <c r="BE123" s="107"/>
      <c r="BF123" s="123"/>
      <c r="BG123" s="135"/>
      <c r="BH123" s="134"/>
      <c r="BI123" s="123"/>
      <c r="BJ123" s="135"/>
      <c r="BK123" s="135"/>
      <c r="BL123" s="123"/>
      <c r="BM123" s="133"/>
      <c r="BN123" s="134"/>
      <c r="BO123" s="123"/>
      <c r="BP123" s="133"/>
      <c r="BQ123" s="134"/>
      <c r="BR123" s="123"/>
      <c r="BS123" s="133"/>
      <c r="BT123" s="134"/>
      <c r="BU123" s="123"/>
      <c r="BV123" s="107"/>
      <c r="BW123" s="107"/>
      <c r="BX123" s="132"/>
      <c r="BY123" s="133"/>
      <c r="BZ123" s="134"/>
      <c r="CA123" s="95"/>
    </row>
    <row r="124" spans="1:79" customFormat="1" ht="11.45" customHeight="1" x14ac:dyDescent="0.25">
      <c r="A124" s="13"/>
      <c r="B124" s="25"/>
      <c r="C124" s="16"/>
      <c r="D124" s="194"/>
      <c r="E124" s="195"/>
      <c r="F124" s="16"/>
      <c r="G124" s="372"/>
      <c r="H124" s="373"/>
      <c r="I124" s="14"/>
      <c r="J124" s="371"/>
      <c r="K124" s="371"/>
      <c r="L124" s="16"/>
      <c r="M124" s="194"/>
      <c r="N124" s="195"/>
      <c r="O124" s="16"/>
      <c r="P124" s="273"/>
      <c r="Q124" s="274"/>
      <c r="R124" s="17"/>
      <c r="S124" s="273"/>
      <c r="T124" s="274"/>
      <c r="U124" s="19"/>
      <c r="V124" s="11"/>
      <c r="W124" s="11"/>
      <c r="X124" s="11"/>
      <c r="Y124" s="13"/>
      <c r="Z124" s="93"/>
      <c r="AA124" s="14"/>
      <c r="AB124" s="355"/>
      <c r="AC124" s="356"/>
      <c r="AD124" s="26"/>
      <c r="AE124" s="194" t="str">
        <f>IF(AE123="","",VLOOKUP(AE123,mco_101,2,FALSE))</f>
        <v/>
      </c>
      <c r="AF124" s="195"/>
      <c r="AG124" s="26"/>
      <c r="AH124" s="194" t="str">
        <f>IF(AH123="","",VLOOKUP(AH123,mco_103,2,FALSE))</f>
        <v/>
      </c>
      <c r="AI124" s="195"/>
      <c r="AJ124" s="14"/>
      <c r="AK124" s="235"/>
      <c r="AL124" s="236"/>
      <c r="AM124" s="14"/>
      <c r="AN124" s="360"/>
      <c r="AO124" s="361"/>
      <c r="AP124" s="14"/>
      <c r="AQ124" s="194" t="str">
        <f>IF(AQ123="","",VLOOKUP(AQ123,mco_91,2,FALSE))</f>
        <v/>
      </c>
      <c r="AR124" s="195"/>
      <c r="AS124" s="14"/>
      <c r="AT124" s="194" t="str">
        <f>IF(AT123="","",VLOOKUP(AT123,mco_95,2,FALSE))</f>
        <v/>
      </c>
      <c r="AU124" s="195"/>
      <c r="AV124" s="27"/>
      <c r="AW124" s="28"/>
      <c r="AX124" s="83"/>
      <c r="AY124" s="93"/>
      <c r="AZ124" s="84"/>
      <c r="BA124" s="194" t="str">
        <f>IF(BA123="","",VLOOKUP(BA123,gpme_2,2,FALSE))</f>
        <v/>
      </c>
      <c r="BB124" s="195"/>
      <c r="BC124" s="84"/>
      <c r="BD124" s="194" t="str">
        <f>IF(BD123="","",VLOOKUP(BD123,gpme_2,2,FALSE))</f>
        <v/>
      </c>
      <c r="BE124" s="195"/>
      <c r="BF124" s="84"/>
      <c r="BG124" s="174"/>
      <c r="BH124" s="175"/>
      <c r="BI124" s="84"/>
      <c r="BJ124" s="358"/>
      <c r="BK124" s="359"/>
      <c r="BL124" s="84"/>
      <c r="BM124" s="353"/>
      <c r="BN124" s="354"/>
      <c r="BO124" s="84"/>
      <c r="BP124" s="186" t="str">
        <f>IF(BP123="","",VLOOKUP(BP123,rdc_16,2,FALSE))</f>
        <v/>
      </c>
      <c r="BQ124" s="187"/>
      <c r="BR124" s="84"/>
      <c r="BS124" s="186" t="str">
        <f>IF(BS123="","",VLOOKUP(BS123,rh_1,2,FALSE))</f>
        <v/>
      </c>
      <c r="BT124" s="187"/>
      <c r="BU124" s="84"/>
      <c r="BV124" s="261"/>
      <c r="BW124" s="262"/>
      <c r="BX124" s="94"/>
      <c r="BY124" s="186" t="str">
        <f>IF(BY123="","",VLOOKUP(BY123,rh_1,2,FALSE))</f>
        <v/>
      </c>
      <c r="BZ124" s="187"/>
      <c r="CA124" s="95"/>
    </row>
    <row r="125" spans="1:79" customFormat="1" ht="11.45" customHeight="1" x14ac:dyDescent="0.25">
      <c r="A125" s="13"/>
      <c r="B125" s="29" t="s">
        <v>4</v>
      </c>
      <c r="C125" s="16"/>
      <c r="D125" s="201"/>
      <c r="E125" s="202"/>
      <c r="F125" s="16"/>
      <c r="G125" s="366"/>
      <c r="H125" s="367"/>
      <c r="I125" s="14"/>
      <c r="J125" s="226"/>
      <c r="K125" s="226"/>
      <c r="L125" s="16"/>
      <c r="M125" s="201"/>
      <c r="N125" s="202"/>
      <c r="O125" s="16"/>
      <c r="P125" s="201"/>
      <c r="Q125" s="202"/>
      <c r="R125" s="17"/>
      <c r="S125" s="201"/>
      <c r="T125" s="202"/>
      <c r="U125" s="19"/>
      <c r="V125" s="11"/>
      <c r="W125" s="11"/>
      <c r="X125" s="11"/>
      <c r="Y125" s="13"/>
      <c r="Z125" s="96" t="s">
        <v>4</v>
      </c>
      <c r="AA125" s="14"/>
      <c r="AB125" s="341" t="str">
        <f>IF(AB124="","",VLOOKUP(AB124,mco_99,2,FALSE))</f>
        <v/>
      </c>
      <c r="AC125" s="342"/>
      <c r="AD125" s="22"/>
      <c r="AE125" s="205"/>
      <c r="AF125" s="206"/>
      <c r="AG125" s="22"/>
      <c r="AH125" s="205"/>
      <c r="AI125" s="206"/>
      <c r="AJ125" s="14"/>
      <c r="AK125" s="228" t="str">
        <f>IF(AK124="","",VLOOKUP(AK124,mco_105,2,FALSE))</f>
        <v/>
      </c>
      <c r="AL125" s="229"/>
      <c r="AM125" s="14"/>
      <c r="AN125" s="303" t="str">
        <f>IF(AN124="","",VLOOKUP(AN124,mco_91,2,FALSE))</f>
        <v/>
      </c>
      <c r="AO125" s="304"/>
      <c r="AP125" s="14"/>
      <c r="AQ125" s="205"/>
      <c r="AR125" s="206"/>
      <c r="AS125" s="14"/>
      <c r="AT125" s="205"/>
      <c r="AU125" s="206"/>
      <c r="AV125" s="23"/>
      <c r="AW125" s="24"/>
      <c r="AX125" s="83"/>
      <c r="AY125" s="96" t="s">
        <v>4</v>
      </c>
      <c r="AZ125" s="84"/>
      <c r="BA125" s="205"/>
      <c r="BB125" s="206"/>
      <c r="BC125" s="84"/>
      <c r="BD125" s="205"/>
      <c r="BE125" s="206"/>
      <c r="BF125" s="84"/>
      <c r="BG125" s="170" t="str">
        <f>IF(BG124="","",VLOOKUP(BG124,ndrc_7,2,FALSE))</f>
        <v/>
      </c>
      <c r="BH125" s="171"/>
      <c r="BI125" s="84"/>
      <c r="BJ125" s="343" t="str">
        <f>IF(BJ124="","",VLOOKUP(BJ124,ndrc_5,2,FALSE))</f>
        <v/>
      </c>
      <c r="BK125" s="344"/>
      <c r="BL125" s="84"/>
      <c r="BM125" s="339"/>
      <c r="BN125" s="340"/>
      <c r="BO125" s="84"/>
      <c r="BP125" s="164"/>
      <c r="BQ125" s="165"/>
      <c r="BR125" s="84"/>
      <c r="BS125" s="164"/>
      <c r="BT125" s="165"/>
      <c r="BU125" s="84"/>
      <c r="BV125" s="250" t="str">
        <f>IF(BV124="","",VLOOKUP(BV124,m_3,2,FALSE))</f>
        <v/>
      </c>
      <c r="BW125" s="251"/>
      <c r="BX125" s="91"/>
      <c r="BY125" s="164"/>
      <c r="BZ125" s="165"/>
      <c r="CA125" s="92"/>
    </row>
    <row r="126" spans="1:79" customFormat="1" ht="14.45" customHeight="1" x14ac:dyDescent="0.25">
      <c r="A126" s="13"/>
      <c r="B126" s="368">
        <v>28</v>
      </c>
      <c r="C126" s="16"/>
      <c r="D126" s="164"/>
      <c r="E126" s="202"/>
      <c r="F126" s="16"/>
      <c r="G126" s="366"/>
      <c r="H126" s="367"/>
      <c r="I126" s="14"/>
      <c r="J126" s="226"/>
      <c r="K126" s="226"/>
      <c r="L126" s="16"/>
      <c r="M126" s="164"/>
      <c r="N126" s="202"/>
      <c r="O126" s="16"/>
      <c r="P126" s="201"/>
      <c r="Q126" s="202"/>
      <c r="R126" s="17"/>
      <c r="S126" s="201"/>
      <c r="T126" s="202"/>
      <c r="U126" s="19"/>
      <c r="V126" s="11"/>
      <c r="W126" s="11"/>
      <c r="X126" s="11"/>
      <c r="Y126" s="13"/>
      <c r="Z126" s="368">
        <v>28</v>
      </c>
      <c r="AA126" s="14"/>
      <c r="AB126" s="345"/>
      <c r="AC126" s="346"/>
      <c r="AD126" s="26"/>
      <c r="AE126" s="207"/>
      <c r="AF126" s="208"/>
      <c r="AG126" s="26"/>
      <c r="AH126" s="207"/>
      <c r="AI126" s="208"/>
      <c r="AJ126" s="14"/>
      <c r="AK126" s="237"/>
      <c r="AL126" s="238"/>
      <c r="AM126" s="14"/>
      <c r="AN126" s="308"/>
      <c r="AO126" s="309"/>
      <c r="AP126" s="14"/>
      <c r="AQ126" s="207"/>
      <c r="AR126" s="208"/>
      <c r="AS126" s="14"/>
      <c r="AT126" s="207"/>
      <c r="AU126" s="208"/>
      <c r="AV126" s="27"/>
      <c r="AW126" s="28"/>
      <c r="AX126" s="83"/>
      <c r="AY126" s="368">
        <v>28</v>
      </c>
      <c r="AZ126" s="84"/>
      <c r="BA126" s="207"/>
      <c r="BB126" s="208"/>
      <c r="BC126" s="84"/>
      <c r="BD126" s="207"/>
      <c r="BE126" s="208"/>
      <c r="BF126" s="84"/>
      <c r="BG126" s="176"/>
      <c r="BH126" s="177"/>
      <c r="BI126" s="84"/>
      <c r="BJ126" s="347"/>
      <c r="BK126" s="348"/>
      <c r="BL126" s="84"/>
      <c r="BM126" s="351"/>
      <c r="BN126" s="352"/>
      <c r="BO126" s="84"/>
      <c r="BP126" s="164"/>
      <c r="BQ126" s="165"/>
      <c r="BR126" s="84"/>
      <c r="BS126" s="164"/>
      <c r="BT126" s="165"/>
      <c r="BU126" s="84"/>
      <c r="BV126" s="252"/>
      <c r="BW126" s="253"/>
      <c r="BX126" s="94"/>
      <c r="BY126" s="164"/>
      <c r="BZ126" s="165"/>
      <c r="CA126" s="95"/>
    </row>
    <row r="127" spans="1:79" customFormat="1" ht="14.45" customHeight="1" x14ac:dyDescent="0.25">
      <c r="A127" s="13"/>
      <c r="B127" s="368"/>
      <c r="C127" s="16"/>
      <c r="D127" s="207"/>
      <c r="E127" s="208"/>
      <c r="F127" s="16"/>
      <c r="G127" s="366"/>
      <c r="H127" s="367"/>
      <c r="I127" s="14"/>
      <c r="J127" s="363"/>
      <c r="K127" s="363"/>
      <c r="L127" s="16"/>
      <c r="M127" s="207"/>
      <c r="N127" s="208"/>
      <c r="O127" s="16"/>
      <c r="P127" s="201"/>
      <c r="Q127" s="202"/>
      <c r="R127" s="17"/>
      <c r="S127" s="201"/>
      <c r="T127" s="202"/>
      <c r="U127" s="19"/>
      <c r="V127" s="131"/>
      <c r="W127" s="11"/>
      <c r="X127" s="11"/>
      <c r="Y127" s="13"/>
      <c r="Z127" s="368"/>
      <c r="AA127" s="14"/>
      <c r="AB127" s="337"/>
      <c r="AC127" s="338"/>
      <c r="AD127" s="26"/>
      <c r="AE127" s="207" t="str">
        <f>IF(AE126="","",VLOOKUP(AE126,mco_101,2,FALSE))</f>
        <v/>
      </c>
      <c r="AF127" s="208"/>
      <c r="AG127" s="26"/>
      <c r="AH127" s="207" t="str">
        <f>IF(AH126="","",VLOOKUP(AH126,mco_103,2,FALSE))</f>
        <v/>
      </c>
      <c r="AI127" s="208"/>
      <c r="AJ127" s="14"/>
      <c r="AK127" s="239"/>
      <c r="AL127" s="240"/>
      <c r="AM127" s="14"/>
      <c r="AN127" s="297"/>
      <c r="AO127" s="298"/>
      <c r="AP127" s="14"/>
      <c r="AQ127" s="207" t="str">
        <f>IF(AQ126="","",VLOOKUP(AQ126,mco_91,2,FALSE))</f>
        <v/>
      </c>
      <c r="AR127" s="208"/>
      <c r="AS127" s="14"/>
      <c r="AT127" s="207" t="str">
        <f>IF(AT126="","",VLOOKUP(AT126,mco_95,2,FALSE))</f>
        <v/>
      </c>
      <c r="AU127" s="208"/>
      <c r="AV127" s="27"/>
      <c r="AW127" s="28"/>
      <c r="AX127" s="83"/>
      <c r="AY127" s="368"/>
      <c r="AZ127" s="84"/>
      <c r="BA127" s="207" t="str">
        <f>IF(BA126="","",VLOOKUP(BA126,gpme_2,2,FALSE))</f>
        <v/>
      </c>
      <c r="BB127" s="208"/>
      <c r="BC127" s="84"/>
      <c r="BD127" s="207" t="str">
        <f>IF(BD126="","",VLOOKUP(BD126,gpme_2,2,FALSE))</f>
        <v/>
      </c>
      <c r="BE127" s="208"/>
      <c r="BF127" s="84"/>
      <c r="BG127" s="178"/>
      <c r="BH127" s="179"/>
      <c r="BI127" s="84"/>
      <c r="BJ127" s="349"/>
      <c r="BK127" s="350"/>
      <c r="BL127" s="84"/>
      <c r="BM127" s="335"/>
      <c r="BN127" s="336"/>
      <c r="BO127" s="84"/>
      <c r="BP127" s="164" t="str">
        <f>IF(BP126="","",VLOOKUP(BP126,rdc_16,2,FALSE))</f>
        <v/>
      </c>
      <c r="BQ127" s="165"/>
      <c r="BR127" s="84"/>
      <c r="BS127" s="164" t="str">
        <f>IF(BS126="","",VLOOKUP(BS126,rh_1,2,FALSE))</f>
        <v/>
      </c>
      <c r="BT127" s="165"/>
      <c r="BU127" s="84"/>
      <c r="BV127" s="254"/>
      <c r="BW127" s="255"/>
      <c r="BX127" s="94"/>
      <c r="BY127" s="164" t="str">
        <f>IF(BY126="","",VLOOKUP(BY126,rh_1,2,FALSE))</f>
        <v/>
      </c>
      <c r="BZ127" s="165"/>
      <c r="CA127" s="95"/>
    </row>
    <row r="128" spans="1:79" customFormat="1" ht="11.45" customHeight="1" x14ac:dyDescent="0.25">
      <c r="A128" s="13"/>
      <c r="B128" s="30"/>
      <c r="C128" s="16"/>
      <c r="D128" s="201"/>
      <c r="E128" s="202"/>
      <c r="F128" s="16"/>
      <c r="G128" s="366"/>
      <c r="H128" s="367"/>
      <c r="I128" s="14"/>
      <c r="J128" s="226"/>
      <c r="K128" s="226"/>
      <c r="L128" s="16"/>
      <c r="M128" s="201"/>
      <c r="N128" s="202"/>
      <c r="O128" s="16"/>
      <c r="P128" s="201"/>
      <c r="Q128" s="202"/>
      <c r="R128" s="17"/>
      <c r="S128" s="201"/>
      <c r="T128" s="202"/>
      <c r="U128" s="19"/>
      <c r="V128" s="11"/>
      <c r="W128" s="11"/>
      <c r="X128" s="11"/>
      <c r="Y128" s="13"/>
      <c r="Z128" s="147"/>
      <c r="AA128" s="14"/>
      <c r="AB128" s="341" t="str">
        <f>IF(AB127="","",VLOOKUP(AB127,mco_99,2,FALSE))</f>
        <v/>
      </c>
      <c r="AC128" s="342"/>
      <c r="AD128" s="22"/>
      <c r="AE128" s="205"/>
      <c r="AF128" s="206"/>
      <c r="AG128" s="22"/>
      <c r="AH128" s="205"/>
      <c r="AI128" s="206"/>
      <c r="AJ128" s="14"/>
      <c r="AK128" s="228" t="str">
        <f>IF(AK127="","",VLOOKUP(AK127,mco_105,2,FALSE))</f>
        <v/>
      </c>
      <c r="AL128" s="229"/>
      <c r="AM128" s="14"/>
      <c r="AN128" s="303" t="str">
        <f>IF(AN127="","",VLOOKUP(AN127,mco_91,2,FALSE))</f>
        <v/>
      </c>
      <c r="AO128" s="304"/>
      <c r="AP128" s="14"/>
      <c r="AQ128" s="205"/>
      <c r="AR128" s="206"/>
      <c r="AS128" s="14"/>
      <c r="AT128" s="205"/>
      <c r="AU128" s="206"/>
      <c r="AV128" s="23"/>
      <c r="AW128" s="24"/>
      <c r="AX128" s="83"/>
      <c r="AY128" s="147"/>
      <c r="AZ128" s="84"/>
      <c r="BA128" s="205"/>
      <c r="BB128" s="206"/>
      <c r="BC128" s="84"/>
      <c r="BD128" s="205"/>
      <c r="BE128" s="206"/>
      <c r="BF128" s="84"/>
      <c r="BG128" s="170" t="str">
        <f>IF(BG127="","",VLOOKUP(BG127,ndrc_7,2,FALSE))</f>
        <v/>
      </c>
      <c r="BH128" s="171"/>
      <c r="BI128" s="84"/>
      <c r="BJ128" s="343" t="str">
        <f>IF(BJ127="","",VLOOKUP(BJ127,ndrc_5,2,FALSE))</f>
        <v/>
      </c>
      <c r="BK128" s="344"/>
      <c r="BL128" s="84"/>
      <c r="BM128" s="339"/>
      <c r="BN128" s="340"/>
      <c r="BO128" s="84"/>
      <c r="BP128" s="164"/>
      <c r="BQ128" s="165"/>
      <c r="BR128" s="84"/>
      <c r="BS128" s="164"/>
      <c r="BT128" s="165"/>
      <c r="BU128" s="84"/>
      <c r="BV128" s="250" t="str">
        <f>IF(BV127="","",VLOOKUP(BV127,m_3,2,FALSE))</f>
        <v/>
      </c>
      <c r="BW128" s="251"/>
      <c r="BX128" s="91"/>
      <c r="BY128" s="164"/>
      <c r="BZ128" s="165"/>
      <c r="CA128" s="92"/>
    </row>
    <row r="129" spans="1:79" customFormat="1" ht="11.45" customHeight="1" thickBot="1" x14ac:dyDescent="0.3">
      <c r="A129" s="13"/>
      <c r="B129" s="32"/>
      <c r="C129" s="16"/>
      <c r="D129" s="203"/>
      <c r="E129" s="204"/>
      <c r="F129" s="16"/>
      <c r="G129" s="364"/>
      <c r="H129" s="365"/>
      <c r="I129" s="14"/>
      <c r="J129" s="281"/>
      <c r="K129" s="281"/>
      <c r="L129" s="16"/>
      <c r="M129" s="203"/>
      <c r="N129" s="204"/>
      <c r="O129" s="16"/>
      <c r="P129" s="203"/>
      <c r="Q129" s="204"/>
      <c r="R129" s="17"/>
      <c r="S129" s="203"/>
      <c r="T129" s="204"/>
      <c r="U129" s="19"/>
      <c r="V129" s="11"/>
      <c r="W129" s="11"/>
      <c r="X129" s="11"/>
      <c r="Y129" s="13"/>
      <c r="Z129" s="98"/>
      <c r="AA129" s="14"/>
      <c r="AB129" s="331"/>
      <c r="AC129" s="332"/>
      <c r="AD129" s="26"/>
      <c r="AE129" s="209"/>
      <c r="AF129" s="210"/>
      <c r="AG129" s="26"/>
      <c r="AH129" s="209"/>
      <c r="AI129" s="210"/>
      <c r="AJ129" s="14"/>
      <c r="AK129" s="223"/>
      <c r="AL129" s="224"/>
      <c r="AM129" s="14"/>
      <c r="AN129" s="295"/>
      <c r="AO129" s="296"/>
      <c r="AP129" s="14"/>
      <c r="AQ129" s="209"/>
      <c r="AR129" s="210"/>
      <c r="AS129" s="14"/>
      <c r="AT129" s="209"/>
      <c r="AU129" s="210"/>
      <c r="AV129" s="27"/>
      <c r="AW129" s="28"/>
      <c r="AX129" s="83"/>
      <c r="AY129" s="98"/>
      <c r="AZ129" s="100"/>
      <c r="BA129" s="209"/>
      <c r="BB129" s="210"/>
      <c r="BC129" s="100"/>
      <c r="BD129" s="209"/>
      <c r="BE129" s="210"/>
      <c r="BF129" s="100"/>
      <c r="BG129" s="172"/>
      <c r="BH129" s="173"/>
      <c r="BI129" s="100"/>
      <c r="BJ129" s="327"/>
      <c r="BK129" s="328"/>
      <c r="BL129" s="84"/>
      <c r="BM129" s="329"/>
      <c r="BN129" s="330"/>
      <c r="BO129" s="84"/>
      <c r="BP129" s="199"/>
      <c r="BQ129" s="200"/>
      <c r="BR129" s="84"/>
      <c r="BS129" s="199"/>
      <c r="BT129" s="200"/>
      <c r="BU129" s="84"/>
      <c r="BV129" s="256"/>
      <c r="BW129" s="257"/>
      <c r="BX129" s="94"/>
      <c r="BY129" s="199"/>
      <c r="BZ129" s="200"/>
      <c r="CA129" s="95"/>
    </row>
    <row r="130" spans="1:79" customFormat="1" ht="11.45" customHeight="1" x14ac:dyDescent="0.25">
      <c r="A130" s="13"/>
      <c r="B130" s="25"/>
      <c r="C130" s="16"/>
      <c r="D130" s="302"/>
      <c r="E130" s="302"/>
      <c r="F130" s="16"/>
      <c r="G130" s="363"/>
      <c r="H130" s="363"/>
      <c r="I130" s="14"/>
      <c r="J130" s="362"/>
      <c r="K130" s="362"/>
      <c r="L130" s="16"/>
      <c r="M130" s="226"/>
      <c r="N130" s="226"/>
      <c r="O130" s="16"/>
      <c r="P130" s="273"/>
      <c r="Q130" s="274"/>
      <c r="R130" s="17"/>
      <c r="S130" s="230"/>
      <c r="T130" s="231"/>
      <c r="U130" s="19"/>
      <c r="V130" s="11"/>
      <c r="W130" s="11"/>
      <c r="X130" s="11"/>
      <c r="Y130" s="13"/>
      <c r="Z130" s="93"/>
      <c r="AA130" s="14"/>
      <c r="AB130" s="355"/>
      <c r="AC130" s="356"/>
      <c r="AD130" s="26"/>
      <c r="AE130" s="357"/>
      <c r="AF130" s="266"/>
      <c r="AG130" s="26"/>
      <c r="AH130" s="194" t="str">
        <f>IF(AH129="","",VLOOKUP(AH129,mco_103,2,FALSE))</f>
        <v/>
      </c>
      <c r="AI130" s="195"/>
      <c r="AJ130" s="14"/>
      <c r="AK130" s="235"/>
      <c r="AL130" s="236"/>
      <c r="AM130" s="14"/>
      <c r="AN130" s="360"/>
      <c r="AO130" s="361"/>
      <c r="AP130" s="14"/>
      <c r="AQ130" s="486"/>
      <c r="AR130" s="487"/>
      <c r="AS130" s="14"/>
      <c r="AT130" s="194" t="str">
        <f>IF(AT129="","",VLOOKUP(AT129,mco_95,2,FALSE))</f>
        <v/>
      </c>
      <c r="AU130" s="195"/>
      <c r="AV130" s="27"/>
      <c r="AW130" s="28"/>
      <c r="AX130" s="83"/>
      <c r="AY130" s="93"/>
      <c r="AZ130" s="84"/>
      <c r="BA130" s="194" t="str">
        <f>IF(BA129="","",VLOOKUP(BA129,gpme_2,2,FALSE))</f>
        <v/>
      </c>
      <c r="BB130" s="195"/>
      <c r="BC130" s="84"/>
      <c r="BD130" s="194" t="str">
        <f>IF(BD129="","",VLOOKUP(BD129,gpme_2,2,FALSE))</f>
        <v/>
      </c>
      <c r="BE130" s="195"/>
      <c r="BF130" s="84"/>
      <c r="BG130" s="174"/>
      <c r="BH130" s="175"/>
      <c r="BI130" s="84"/>
      <c r="BJ130" s="358"/>
      <c r="BK130" s="359"/>
      <c r="BL130" s="84"/>
      <c r="BM130" s="353"/>
      <c r="BN130" s="354"/>
      <c r="BO130" s="84"/>
      <c r="BP130" s="186" t="str">
        <f>IF(BP129="","",VLOOKUP(BP129,rdc_16,2,FALSE))</f>
        <v/>
      </c>
      <c r="BQ130" s="187"/>
      <c r="BR130" s="84"/>
      <c r="BS130" s="186" t="str">
        <f>IF(BS129="","",VLOOKUP(BS129,rh_1,2,FALSE))</f>
        <v/>
      </c>
      <c r="BT130" s="187"/>
      <c r="BU130" s="84"/>
      <c r="BV130" s="261"/>
      <c r="BW130" s="262"/>
      <c r="BX130" s="94"/>
      <c r="BY130" s="186" t="str">
        <f>IF(BY129="","",VLOOKUP(BY129,rh_1,2,FALSE))</f>
        <v/>
      </c>
      <c r="BZ130" s="187"/>
      <c r="CA130" s="95"/>
    </row>
    <row r="131" spans="1:79" customFormat="1" ht="11.45" customHeight="1" x14ac:dyDescent="0.25">
      <c r="A131" s="13"/>
      <c r="B131" s="29" t="s">
        <v>5</v>
      </c>
      <c r="C131" s="16"/>
      <c r="D131" s="316"/>
      <c r="E131" s="316"/>
      <c r="F131" s="16"/>
      <c r="G131" s="226"/>
      <c r="H131" s="226"/>
      <c r="I131" s="14"/>
      <c r="J131" s="315"/>
      <c r="K131" s="315"/>
      <c r="L131" s="16"/>
      <c r="M131" s="226"/>
      <c r="N131" s="226"/>
      <c r="O131" s="16"/>
      <c r="P131" s="201"/>
      <c r="Q131" s="202"/>
      <c r="R131" s="17"/>
      <c r="S131" s="325"/>
      <c r="T131" s="326"/>
      <c r="U131" s="19"/>
      <c r="V131" s="11"/>
      <c r="W131" s="11"/>
      <c r="X131" s="11"/>
      <c r="Y131" s="13"/>
      <c r="Z131" s="96" t="s">
        <v>5</v>
      </c>
      <c r="AA131" s="14"/>
      <c r="AB131" s="341" t="str">
        <f>IF(AB130="","",VLOOKUP(AB130,mco_99,2,FALSE))</f>
        <v/>
      </c>
      <c r="AC131" s="342"/>
      <c r="AD131" s="22"/>
      <c r="AE131" s="287" t="str">
        <f>IF(AE130="","",VLOOKUP(AE130,mco_101,2,FALSE))</f>
        <v/>
      </c>
      <c r="AF131" s="169"/>
      <c r="AG131" s="22"/>
      <c r="AH131" s="205"/>
      <c r="AI131" s="206"/>
      <c r="AJ131" s="14"/>
      <c r="AK131" s="228" t="str">
        <f>IF(AK130="","",VLOOKUP(AK130,mco_105,2,FALSE))</f>
        <v/>
      </c>
      <c r="AL131" s="229"/>
      <c r="AM131" s="14"/>
      <c r="AN131" s="303" t="str">
        <f>IF(AN130="","",VLOOKUP(AN130,mco_91,2,FALSE))</f>
        <v/>
      </c>
      <c r="AO131" s="304"/>
      <c r="AP131" s="14"/>
      <c r="AQ131" s="488" t="str">
        <f>IF(AQ130="","",VLOOKUP(AQ130,mco_91,2,FALSE))</f>
        <v/>
      </c>
      <c r="AR131" s="489"/>
      <c r="AS131" s="14"/>
      <c r="AT131" s="205"/>
      <c r="AU131" s="206"/>
      <c r="AV131" s="23"/>
      <c r="AW131" s="24"/>
      <c r="AX131" s="83"/>
      <c r="AY131" s="96" t="s">
        <v>5</v>
      </c>
      <c r="AZ131" s="84"/>
      <c r="BA131" s="205"/>
      <c r="BB131" s="206"/>
      <c r="BC131" s="84"/>
      <c r="BD131" s="205"/>
      <c r="BE131" s="206"/>
      <c r="BF131" s="84"/>
      <c r="BG131" s="170" t="str">
        <f>IF(BG130="","",VLOOKUP(BG130,ndrc_7,2,FALSE))</f>
        <v/>
      </c>
      <c r="BH131" s="171"/>
      <c r="BI131" s="84"/>
      <c r="BJ131" s="343" t="str">
        <f>IF(BJ130="","",VLOOKUP(BJ130,ndrc_5,2,FALSE))</f>
        <v/>
      </c>
      <c r="BK131" s="344"/>
      <c r="BL131" s="84"/>
      <c r="BM131" s="339"/>
      <c r="BN131" s="340"/>
      <c r="BO131" s="84"/>
      <c r="BP131" s="164"/>
      <c r="BQ131" s="165"/>
      <c r="BR131" s="84"/>
      <c r="BS131" s="164"/>
      <c r="BT131" s="165"/>
      <c r="BU131" s="84"/>
      <c r="BV131" s="250" t="str">
        <f>IF(BV130="","",VLOOKUP(BV130,m_3,2,FALSE))</f>
        <v/>
      </c>
      <c r="BW131" s="251"/>
      <c r="BX131" s="91"/>
      <c r="BY131" s="164"/>
      <c r="BZ131" s="165"/>
      <c r="CA131" s="92"/>
    </row>
    <row r="132" spans="1:79" customFormat="1" ht="11.45" customHeight="1" x14ac:dyDescent="0.25">
      <c r="A132" s="13"/>
      <c r="B132" s="30">
        <v>29</v>
      </c>
      <c r="C132" s="16"/>
      <c r="D132" s="312"/>
      <c r="E132" s="312"/>
      <c r="F132" s="16"/>
      <c r="G132" s="226"/>
      <c r="H132" s="226"/>
      <c r="I132" s="14"/>
      <c r="J132" s="310"/>
      <c r="K132" s="311"/>
      <c r="L132" s="16"/>
      <c r="M132" s="226"/>
      <c r="N132" s="226"/>
      <c r="O132" s="16"/>
      <c r="P132" s="201"/>
      <c r="Q132" s="202"/>
      <c r="R132" s="17"/>
      <c r="S132" s="325"/>
      <c r="T132" s="326"/>
      <c r="U132" s="19"/>
      <c r="V132" s="11"/>
      <c r="W132" s="11"/>
      <c r="X132" s="11"/>
      <c r="Y132" s="13"/>
      <c r="Z132" s="147">
        <v>29</v>
      </c>
      <c r="AA132" s="14"/>
      <c r="AB132" s="345"/>
      <c r="AC132" s="346"/>
      <c r="AD132" s="26"/>
      <c r="AE132" s="305"/>
      <c r="AF132" s="169"/>
      <c r="AG132" s="26"/>
      <c r="AH132" s="207"/>
      <c r="AI132" s="208"/>
      <c r="AJ132" s="14"/>
      <c r="AK132" s="237"/>
      <c r="AL132" s="238"/>
      <c r="AM132" s="14"/>
      <c r="AN132" s="308"/>
      <c r="AO132" s="309"/>
      <c r="AP132" s="14"/>
      <c r="AQ132" s="490"/>
      <c r="AR132" s="491"/>
      <c r="AS132" s="14"/>
      <c r="AT132" s="207"/>
      <c r="AU132" s="208"/>
      <c r="AV132" s="27"/>
      <c r="AW132" s="28"/>
      <c r="AX132" s="83"/>
      <c r="AY132" s="147">
        <v>29</v>
      </c>
      <c r="AZ132" s="84"/>
      <c r="BA132" s="207"/>
      <c r="BB132" s="208"/>
      <c r="BC132" s="84"/>
      <c r="BD132" s="207"/>
      <c r="BE132" s="208"/>
      <c r="BF132" s="84"/>
      <c r="BG132" s="176"/>
      <c r="BH132" s="177"/>
      <c r="BI132" s="84"/>
      <c r="BJ132" s="347"/>
      <c r="BK132" s="348"/>
      <c r="BL132" s="84"/>
      <c r="BM132" s="351"/>
      <c r="BN132" s="352"/>
      <c r="BO132" s="84"/>
      <c r="BP132" s="164"/>
      <c r="BQ132" s="165"/>
      <c r="BR132" s="84"/>
      <c r="BS132" s="164"/>
      <c r="BT132" s="165"/>
      <c r="BU132" s="84"/>
      <c r="BV132" s="252"/>
      <c r="BW132" s="253"/>
      <c r="BX132" s="94"/>
      <c r="BY132" s="164"/>
      <c r="BZ132" s="165"/>
      <c r="CA132" s="95"/>
    </row>
    <row r="133" spans="1:79" customFormat="1" ht="11.45" customHeight="1" x14ac:dyDescent="0.25">
      <c r="A133" s="13"/>
      <c r="B133" s="30"/>
      <c r="C133" s="16"/>
      <c r="D133" s="302"/>
      <c r="E133" s="302"/>
      <c r="F133" s="16"/>
      <c r="G133" s="226"/>
      <c r="H133" s="226"/>
      <c r="I133" s="14"/>
      <c r="J133" s="299"/>
      <c r="K133" s="299"/>
      <c r="L133" s="16"/>
      <c r="M133" s="226"/>
      <c r="N133" s="226"/>
      <c r="O133" s="16"/>
      <c r="P133" s="201"/>
      <c r="Q133" s="202"/>
      <c r="R133" s="17"/>
      <c r="S133" s="325"/>
      <c r="T133" s="326"/>
      <c r="U133" s="19"/>
      <c r="V133" s="11"/>
      <c r="W133" s="11"/>
      <c r="X133" s="11"/>
      <c r="Y133" s="13"/>
      <c r="Z133" s="147"/>
      <c r="AA133" s="14"/>
      <c r="AB133" s="337"/>
      <c r="AC133" s="338"/>
      <c r="AD133" s="26"/>
      <c r="AE133" s="319"/>
      <c r="AF133" s="320"/>
      <c r="AG133" s="26"/>
      <c r="AH133" s="207" t="str">
        <f>IF(AH132="","",VLOOKUP(AH132,mco_103,2,FALSE))</f>
        <v/>
      </c>
      <c r="AI133" s="208"/>
      <c r="AJ133" s="14"/>
      <c r="AK133" s="239"/>
      <c r="AL133" s="240"/>
      <c r="AM133" s="14"/>
      <c r="AN133" s="297"/>
      <c r="AO133" s="298"/>
      <c r="AP133" s="14"/>
      <c r="AQ133" s="492"/>
      <c r="AR133" s="493"/>
      <c r="AS133" s="14"/>
      <c r="AT133" s="207" t="str">
        <f>IF(AT132="","",VLOOKUP(AT132,mco_95,2,FALSE))</f>
        <v/>
      </c>
      <c r="AU133" s="208"/>
      <c r="AV133" s="27"/>
      <c r="AW133" s="28"/>
      <c r="AX133" s="83"/>
      <c r="AY133" s="147"/>
      <c r="AZ133" s="84"/>
      <c r="BA133" s="207" t="str">
        <f>IF(BA132="","",VLOOKUP(BA132,gpme_2,2,FALSE))</f>
        <v/>
      </c>
      <c r="BB133" s="208"/>
      <c r="BC133" s="84"/>
      <c r="BD133" s="207" t="str">
        <f>IF(BD132="","",VLOOKUP(BD132,gpme_2,2,FALSE))</f>
        <v/>
      </c>
      <c r="BE133" s="208"/>
      <c r="BF133" s="84"/>
      <c r="BG133" s="178"/>
      <c r="BH133" s="179"/>
      <c r="BI133" s="84"/>
      <c r="BJ133" s="349"/>
      <c r="BK133" s="350"/>
      <c r="BL133" s="84"/>
      <c r="BM133" s="335"/>
      <c r="BN133" s="336"/>
      <c r="BO133" s="84"/>
      <c r="BP133" s="201" t="str">
        <f>IF(BP132="","",VLOOKUP(BP132,rdc_16,2,FALSE))</f>
        <v/>
      </c>
      <c r="BQ133" s="202"/>
      <c r="BR133" s="84"/>
      <c r="BS133" s="201" t="str">
        <f>IF(BS132="","",VLOOKUP(BS132,rh_1,2,FALSE))</f>
        <v/>
      </c>
      <c r="BT133" s="202"/>
      <c r="BU133" s="84"/>
      <c r="BV133" s="254"/>
      <c r="BW133" s="255"/>
      <c r="BX133" s="94"/>
      <c r="BY133" s="201" t="str">
        <f>IF(BY132="","",VLOOKUP(BY132,rh_1,2,FALSE))</f>
        <v/>
      </c>
      <c r="BZ133" s="202"/>
      <c r="CA133" s="95"/>
    </row>
    <row r="134" spans="1:79" customFormat="1" ht="11.45" customHeight="1" x14ac:dyDescent="0.25">
      <c r="A134" s="13"/>
      <c r="B134" s="30"/>
      <c r="C134" s="16"/>
      <c r="D134" s="316"/>
      <c r="E134" s="316"/>
      <c r="F134" s="16"/>
      <c r="G134" s="226"/>
      <c r="H134" s="226"/>
      <c r="I134" s="14"/>
      <c r="J134" s="315"/>
      <c r="K134" s="315"/>
      <c r="L134" s="16"/>
      <c r="M134" s="226"/>
      <c r="N134" s="226"/>
      <c r="O134" s="16"/>
      <c r="P134" s="201"/>
      <c r="Q134" s="202"/>
      <c r="R134" s="17"/>
      <c r="S134" s="325"/>
      <c r="T134" s="326"/>
      <c r="U134" s="19"/>
      <c r="V134" s="11"/>
      <c r="W134" s="11"/>
      <c r="X134" s="11"/>
      <c r="Y134" s="13"/>
      <c r="Z134" s="147"/>
      <c r="AA134" s="14"/>
      <c r="AB134" s="341" t="str">
        <f>IF(AB133="","",VLOOKUP(AB133,mco_99,2,FALSE))</f>
        <v/>
      </c>
      <c r="AC134" s="342"/>
      <c r="AD134" s="22"/>
      <c r="AE134" s="287" t="str">
        <f>IF(AE133="","",VLOOKUP(AE133,mco_101,2,FALSE))</f>
        <v/>
      </c>
      <c r="AF134" s="169"/>
      <c r="AG134" s="22"/>
      <c r="AH134" s="205"/>
      <c r="AI134" s="206"/>
      <c r="AJ134" s="14"/>
      <c r="AK134" s="228" t="str">
        <f>IF(AK133="","",VLOOKUP(AK133,mco_105,2,FALSE))</f>
        <v/>
      </c>
      <c r="AL134" s="229"/>
      <c r="AM134" s="14"/>
      <c r="AN134" s="303" t="str">
        <f>IF(AN133="","",VLOOKUP(AN133,mco_91,2,FALSE))</f>
        <v/>
      </c>
      <c r="AO134" s="304"/>
      <c r="AP134" s="14"/>
      <c r="AQ134" s="488" t="str">
        <f>IF(AQ133="","",VLOOKUP(AQ133,mco_91,2,FALSE))</f>
        <v/>
      </c>
      <c r="AR134" s="489"/>
      <c r="AS134" s="14"/>
      <c r="AT134" s="205"/>
      <c r="AU134" s="206"/>
      <c r="AV134" s="23"/>
      <c r="AW134" s="24"/>
      <c r="AX134" s="83"/>
      <c r="AY134" s="147"/>
      <c r="AZ134" s="84"/>
      <c r="BA134" s="205"/>
      <c r="BB134" s="206"/>
      <c r="BC134" s="84"/>
      <c r="BD134" s="205"/>
      <c r="BE134" s="206"/>
      <c r="BF134" s="84"/>
      <c r="BG134" s="170" t="str">
        <f>IF(BG133="","",VLOOKUP(BG133,ndrc_7,2,FALSE))</f>
        <v/>
      </c>
      <c r="BH134" s="171"/>
      <c r="BI134" s="84"/>
      <c r="BJ134" s="343" t="str">
        <f>IF(BJ133="","",VLOOKUP(BJ133,ndrc_5,2,FALSE))</f>
        <v/>
      </c>
      <c r="BK134" s="344"/>
      <c r="BL134" s="84"/>
      <c r="BM134" s="339"/>
      <c r="BN134" s="340"/>
      <c r="BO134" s="84"/>
      <c r="BP134" s="201"/>
      <c r="BQ134" s="202"/>
      <c r="BR134" s="84"/>
      <c r="BS134" s="201"/>
      <c r="BT134" s="202"/>
      <c r="BU134" s="84"/>
      <c r="BV134" s="250" t="str">
        <f>IF(BV133="","",VLOOKUP(BV133,m_3,2,FALSE))</f>
        <v/>
      </c>
      <c r="BW134" s="251"/>
      <c r="BX134" s="91"/>
      <c r="BY134" s="201"/>
      <c r="BZ134" s="202"/>
      <c r="CA134" s="92"/>
    </row>
    <row r="135" spans="1:79" customFormat="1" ht="11.45" customHeight="1" thickBot="1" x14ac:dyDescent="0.3">
      <c r="A135" s="13"/>
      <c r="B135" s="32"/>
      <c r="C135" s="16"/>
      <c r="D135" s="282"/>
      <c r="E135" s="282"/>
      <c r="F135" s="16"/>
      <c r="G135" s="281"/>
      <c r="H135" s="281"/>
      <c r="I135" s="14"/>
      <c r="J135" s="279"/>
      <c r="K135" s="280"/>
      <c r="L135" s="16"/>
      <c r="M135" s="281"/>
      <c r="N135" s="281"/>
      <c r="O135" s="16"/>
      <c r="P135" s="203"/>
      <c r="Q135" s="204"/>
      <c r="R135" s="17"/>
      <c r="S135" s="333"/>
      <c r="T135" s="334"/>
      <c r="U135" s="19"/>
      <c r="V135" s="11"/>
      <c r="W135" s="11"/>
      <c r="X135" s="11"/>
      <c r="Y135" s="13"/>
      <c r="Z135" s="98"/>
      <c r="AA135" s="14"/>
      <c r="AB135" s="331"/>
      <c r="AC135" s="332"/>
      <c r="AD135" s="26"/>
      <c r="AE135" s="291"/>
      <c r="AF135" s="292"/>
      <c r="AG135" s="26"/>
      <c r="AH135" s="209"/>
      <c r="AI135" s="210"/>
      <c r="AJ135" s="14"/>
      <c r="AK135" s="223"/>
      <c r="AL135" s="224"/>
      <c r="AM135" s="14"/>
      <c r="AN135" s="295"/>
      <c r="AO135" s="296"/>
      <c r="AP135" s="14"/>
      <c r="AQ135" s="494"/>
      <c r="AR135" s="495"/>
      <c r="AS135" s="14"/>
      <c r="AT135" s="209"/>
      <c r="AU135" s="210"/>
      <c r="AV135" s="27"/>
      <c r="AW135" s="28"/>
      <c r="AX135" s="83"/>
      <c r="AY135" s="98"/>
      <c r="AZ135" s="84"/>
      <c r="BA135" s="209"/>
      <c r="BB135" s="210"/>
      <c r="BC135" s="84"/>
      <c r="BD135" s="209"/>
      <c r="BE135" s="210"/>
      <c r="BF135" s="84"/>
      <c r="BG135" s="172"/>
      <c r="BH135" s="173"/>
      <c r="BI135" s="84"/>
      <c r="BJ135" s="327"/>
      <c r="BK135" s="328"/>
      <c r="BL135" s="84"/>
      <c r="BM135" s="329"/>
      <c r="BN135" s="330"/>
      <c r="BO135" s="84"/>
      <c r="BP135" s="203"/>
      <c r="BQ135" s="204"/>
      <c r="BR135" s="84"/>
      <c r="BS135" s="203"/>
      <c r="BT135" s="204"/>
      <c r="BU135" s="84"/>
      <c r="BV135" s="256"/>
      <c r="BW135" s="257"/>
      <c r="BX135" s="94"/>
      <c r="BY135" s="203"/>
      <c r="BZ135" s="204"/>
      <c r="CA135" s="95"/>
    </row>
    <row r="136" spans="1:79" s="63" customFormat="1" ht="11.45" customHeight="1" x14ac:dyDescent="0.25">
      <c r="A136" s="13"/>
      <c r="B136" s="25"/>
      <c r="C136" s="16"/>
      <c r="D136" s="424"/>
      <c r="E136" s="424"/>
      <c r="F136" s="16"/>
      <c r="G136" s="273"/>
      <c r="H136" s="274"/>
      <c r="I136" s="14"/>
      <c r="J136" s="362"/>
      <c r="K136" s="362"/>
      <c r="L136" s="16"/>
      <c r="M136" s="371"/>
      <c r="N136" s="371"/>
      <c r="O136" s="16"/>
      <c r="P136" s="273"/>
      <c r="Q136" s="274"/>
      <c r="R136" s="17"/>
      <c r="S136" s="273"/>
      <c r="T136" s="274"/>
      <c r="U136" s="19"/>
      <c r="V136" s="11"/>
      <c r="W136" s="11"/>
      <c r="X136" s="11"/>
      <c r="Y136" s="13"/>
      <c r="Z136" s="93"/>
      <c r="AA136" s="14"/>
      <c r="AB136" s="194"/>
      <c r="AC136" s="195"/>
      <c r="AD136" s="26"/>
      <c r="AE136" s="357"/>
      <c r="AF136" s="266"/>
      <c r="AG136" s="26"/>
      <c r="AH136" s="419"/>
      <c r="AI136" s="420"/>
      <c r="AJ136" s="14"/>
      <c r="AK136" s="235"/>
      <c r="AL136" s="236"/>
      <c r="AM136" s="14"/>
      <c r="AN136" s="194"/>
      <c r="AO136" s="195"/>
      <c r="AP136" s="14"/>
      <c r="AQ136" s="486"/>
      <c r="AR136" s="487"/>
      <c r="AS136" s="14"/>
      <c r="AT136" s="225"/>
      <c r="AU136" s="225"/>
      <c r="AV136" s="27"/>
      <c r="AW136" s="28"/>
      <c r="AX136" s="71"/>
      <c r="AY136" s="93"/>
      <c r="AZ136" s="84"/>
      <c r="BA136" s="180"/>
      <c r="BB136" s="181"/>
      <c r="BC136" s="84"/>
      <c r="BD136" s="180"/>
      <c r="BE136" s="181"/>
      <c r="BF136" s="84"/>
      <c r="BG136" s="180"/>
      <c r="BH136" s="181"/>
      <c r="BI136" s="84"/>
      <c r="BJ136" s="194"/>
      <c r="BK136" s="195"/>
      <c r="BL136" s="84"/>
      <c r="BM136" s="317"/>
      <c r="BN136" s="318"/>
      <c r="BO136" s="84"/>
      <c r="BP136" s="323"/>
      <c r="BQ136" s="324"/>
      <c r="BR136" s="84"/>
      <c r="BS136" s="323"/>
      <c r="BT136" s="324"/>
      <c r="BU136" s="84"/>
      <c r="BV136" s="261"/>
      <c r="BW136" s="262"/>
      <c r="BX136" s="94"/>
      <c r="BY136" s="323"/>
      <c r="BZ136" s="324"/>
      <c r="CA136" s="95"/>
    </row>
    <row r="137" spans="1:79" s="63" customFormat="1" ht="11.45" customHeight="1" x14ac:dyDescent="0.25">
      <c r="A137" s="13"/>
      <c r="B137" s="29" t="s">
        <v>6</v>
      </c>
      <c r="C137" s="16"/>
      <c r="D137" s="316"/>
      <c r="E137" s="316"/>
      <c r="F137" s="16"/>
      <c r="G137" s="201"/>
      <c r="H137" s="202"/>
      <c r="I137" s="14"/>
      <c r="J137" s="315"/>
      <c r="K137" s="315"/>
      <c r="L137" s="16"/>
      <c r="M137" s="226"/>
      <c r="N137" s="226"/>
      <c r="O137" s="16"/>
      <c r="P137" s="201"/>
      <c r="Q137" s="202"/>
      <c r="R137" s="17"/>
      <c r="S137" s="201"/>
      <c r="T137" s="202"/>
      <c r="U137" s="19"/>
      <c r="V137" s="11"/>
      <c r="W137" s="11"/>
      <c r="X137" s="11"/>
      <c r="Y137" s="13"/>
      <c r="Z137" s="96" t="s">
        <v>6</v>
      </c>
      <c r="AA137" s="14"/>
      <c r="AB137" s="205" t="str">
        <f>IF(AB136="","",VLOOKUP(AB136,mco_99,2,FALSE))</f>
        <v/>
      </c>
      <c r="AC137" s="206"/>
      <c r="AD137" s="22"/>
      <c r="AE137" s="287" t="str">
        <f>IF(AE136="","",VLOOKUP(AE136,mco_101,2,FALSE))</f>
        <v/>
      </c>
      <c r="AF137" s="169"/>
      <c r="AG137" s="22"/>
      <c r="AH137" s="313" t="str">
        <f>IF(AH136="","",VLOOKUP(AH136,mco_103,2,FALSE))</f>
        <v/>
      </c>
      <c r="AI137" s="314"/>
      <c r="AJ137" s="14"/>
      <c r="AK137" s="228" t="str">
        <f>IF(AK136="","",VLOOKUP(AK136,mco_105,2,FALSE))</f>
        <v/>
      </c>
      <c r="AL137" s="229"/>
      <c r="AM137" s="14"/>
      <c r="AN137" s="205" t="str">
        <f>IF(AN136="","",VLOOKUP(AN136,mco_89,2,FALSE))</f>
        <v/>
      </c>
      <c r="AO137" s="206"/>
      <c r="AP137" s="14"/>
      <c r="AQ137" s="488" t="str">
        <f>IF(AQ136="","",VLOOKUP(AQ136,mco_91,2,FALSE))</f>
        <v/>
      </c>
      <c r="AR137" s="489"/>
      <c r="AS137" s="14"/>
      <c r="AT137" s="226" t="str">
        <f>IF(AT136="","",VLOOKUP(AT136,mco_95,2,FALSE))</f>
        <v/>
      </c>
      <c r="AU137" s="226"/>
      <c r="AV137" s="23"/>
      <c r="AW137" s="24"/>
      <c r="AX137" s="83"/>
      <c r="AY137" s="96" t="s">
        <v>6</v>
      </c>
      <c r="AZ137" s="84"/>
      <c r="BA137" s="182" t="str">
        <f>IF(BA136="","",VLOOKUP(BA136,gpme_2,2,FALSE))</f>
        <v/>
      </c>
      <c r="BB137" s="183"/>
      <c r="BC137" s="84"/>
      <c r="BD137" s="182" t="str">
        <f>IF(BD136="","",VLOOKUP(BD136,gpme_2,2,FALSE))</f>
        <v/>
      </c>
      <c r="BE137" s="183"/>
      <c r="BF137" s="84"/>
      <c r="BG137" s="182" t="str">
        <f>IF(BG136="","",VLOOKUP(BG136,ndrc_7,2,FALSE))</f>
        <v/>
      </c>
      <c r="BH137" s="183"/>
      <c r="BI137" s="84"/>
      <c r="BJ137" s="205" t="str">
        <f>IF(BJ136="","",VLOOKUP(BJ136,ndrc_5,2,FALSE))</f>
        <v/>
      </c>
      <c r="BK137" s="206"/>
      <c r="BL137" s="84"/>
      <c r="BM137" s="205" t="str">
        <f>IF(BM136="","",VLOOKUP(BM136,rdc_14,2,FALSE))</f>
        <v/>
      </c>
      <c r="BN137" s="206"/>
      <c r="BO137" s="84"/>
      <c r="BP137" s="168" t="str">
        <f>IF(BP136="","",VLOOKUP(BP136,rdc_16,2,FALSE))</f>
        <v/>
      </c>
      <c r="BQ137" s="169"/>
      <c r="BR137" s="84"/>
      <c r="BS137" s="168" t="str">
        <f>IF(BS136="","",VLOOKUP(BS136,rh_1,2,FALSE))</f>
        <v/>
      </c>
      <c r="BT137" s="169"/>
      <c r="BU137" s="84"/>
      <c r="BV137" s="250" t="str">
        <f>IF(BV136="","",VLOOKUP(BV136,m_3,2,FALSE))</f>
        <v/>
      </c>
      <c r="BW137" s="251"/>
      <c r="BX137" s="91"/>
      <c r="BY137" s="168" t="str">
        <f>IF(BY136="","",VLOOKUP(BY136,rh_1,2,FALSE))</f>
        <v/>
      </c>
      <c r="BZ137" s="169"/>
      <c r="CA137" s="92"/>
    </row>
    <row r="138" spans="1:79" s="63" customFormat="1" ht="14.45" customHeight="1" x14ac:dyDescent="0.25">
      <c r="A138" s="13"/>
      <c r="B138" s="368">
        <v>30</v>
      </c>
      <c r="C138" s="16"/>
      <c r="D138" s="312"/>
      <c r="E138" s="312"/>
      <c r="F138" s="16"/>
      <c r="G138" s="201"/>
      <c r="H138" s="202"/>
      <c r="I138" s="14"/>
      <c r="J138" s="310"/>
      <c r="K138" s="311"/>
      <c r="L138" s="16"/>
      <c r="M138" s="226"/>
      <c r="N138" s="226"/>
      <c r="O138" s="16"/>
      <c r="P138" s="201"/>
      <c r="Q138" s="202"/>
      <c r="R138" s="17"/>
      <c r="S138" s="201"/>
      <c r="T138" s="202"/>
      <c r="U138" s="19"/>
      <c r="V138" s="11"/>
      <c r="W138" s="11"/>
      <c r="X138" s="11"/>
      <c r="Y138" s="13"/>
      <c r="Z138" s="368">
        <v>30</v>
      </c>
      <c r="AA138" s="14"/>
      <c r="AB138" s="207"/>
      <c r="AC138" s="208"/>
      <c r="AD138" s="26"/>
      <c r="AE138" s="305"/>
      <c r="AF138" s="169"/>
      <c r="AG138" s="26"/>
      <c r="AH138" s="306"/>
      <c r="AI138" s="307"/>
      <c r="AJ138" s="14"/>
      <c r="AK138" s="237"/>
      <c r="AL138" s="238"/>
      <c r="AM138" s="14"/>
      <c r="AN138" s="207"/>
      <c r="AO138" s="208"/>
      <c r="AP138" s="14"/>
      <c r="AQ138" s="490"/>
      <c r="AR138" s="491"/>
      <c r="AS138" s="14"/>
      <c r="AT138" s="226"/>
      <c r="AU138" s="226"/>
      <c r="AV138" s="27"/>
      <c r="AW138" s="28"/>
      <c r="AX138" s="83"/>
      <c r="AY138" s="368">
        <v>30</v>
      </c>
      <c r="AZ138" s="84"/>
      <c r="BA138" s="182"/>
      <c r="BB138" s="183"/>
      <c r="BC138" s="84"/>
      <c r="BD138" s="182"/>
      <c r="BE138" s="183"/>
      <c r="BF138" s="84"/>
      <c r="BG138" s="182"/>
      <c r="BH138" s="183"/>
      <c r="BI138" s="84"/>
      <c r="BJ138" s="207"/>
      <c r="BK138" s="208"/>
      <c r="BL138" s="84"/>
      <c r="BM138" s="207"/>
      <c r="BN138" s="208"/>
      <c r="BO138" s="84"/>
      <c r="BP138" s="168"/>
      <c r="BQ138" s="169"/>
      <c r="BR138" s="84"/>
      <c r="BS138" s="168"/>
      <c r="BT138" s="169"/>
      <c r="BU138" s="84"/>
      <c r="BV138" s="252"/>
      <c r="BW138" s="253"/>
      <c r="BX138" s="94"/>
      <c r="BY138" s="168"/>
      <c r="BZ138" s="169"/>
      <c r="CA138" s="95"/>
    </row>
    <row r="139" spans="1:79" s="63" customFormat="1" ht="14.45" customHeight="1" x14ac:dyDescent="0.25">
      <c r="A139" s="13"/>
      <c r="B139" s="368"/>
      <c r="C139" s="86"/>
      <c r="D139" s="302"/>
      <c r="E139" s="302"/>
      <c r="F139" s="16"/>
      <c r="G139" s="226"/>
      <c r="H139" s="226"/>
      <c r="I139" s="14"/>
      <c r="J139" s="299"/>
      <c r="K139" s="299"/>
      <c r="L139" s="16"/>
      <c r="M139" s="300"/>
      <c r="N139" s="301"/>
      <c r="O139" s="16"/>
      <c r="P139" s="201"/>
      <c r="Q139" s="202"/>
      <c r="R139" s="17"/>
      <c r="S139" s="201"/>
      <c r="T139" s="202"/>
      <c r="U139" s="19"/>
      <c r="V139" s="11"/>
      <c r="W139" s="11"/>
      <c r="X139" s="11"/>
      <c r="Y139" s="13"/>
      <c r="Z139" s="368"/>
      <c r="AA139" s="14"/>
      <c r="AB139" s="207"/>
      <c r="AC139" s="208"/>
      <c r="AD139" s="26"/>
      <c r="AE139" s="319"/>
      <c r="AF139" s="320"/>
      <c r="AG139" s="26"/>
      <c r="AH139" s="321"/>
      <c r="AI139" s="322"/>
      <c r="AJ139" s="14"/>
      <c r="AK139" s="239"/>
      <c r="AL139" s="240"/>
      <c r="AM139" s="14"/>
      <c r="AN139" s="207"/>
      <c r="AO139" s="208"/>
      <c r="AP139" s="14"/>
      <c r="AQ139" s="492"/>
      <c r="AR139" s="493"/>
      <c r="AS139" s="14"/>
      <c r="AT139" s="241"/>
      <c r="AU139" s="241"/>
      <c r="AV139" s="27"/>
      <c r="AW139" s="28"/>
      <c r="AX139" s="83"/>
      <c r="AY139" s="368"/>
      <c r="AZ139" s="84"/>
      <c r="BA139" s="182"/>
      <c r="BB139" s="183"/>
      <c r="BC139" s="84"/>
      <c r="BD139" s="182"/>
      <c r="BE139" s="183"/>
      <c r="BF139" s="84"/>
      <c r="BG139" s="182"/>
      <c r="BH139" s="183"/>
      <c r="BI139" s="84"/>
      <c r="BJ139" s="207"/>
      <c r="BK139" s="208"/>
      <c r="BL139" s="84"/>
      <c r="BM139" s="168"/>
      <c r="BN139" s="169"/>
      <c r="BO139" s="84"/>
      <c r="BP139" s="168"/>
      <c r="BQ139" s="169"/>
      <c r="BR139" s="84"/>
      <c r="BS139" s="168"/>
      <c r="BT139" s="169"/>
      <c r="BU139" s="84"/>
      <c r="BV139" s="254"/>
      <c r="BW139" s="255"/>
      <c r="BX139" s="94"/>
      <c r="BY139" s="168"/>
      <c r="BZ139" s="169"/>
      <c r="CA139" s="95"/>
    </row>
    <row r="140" spans="1:79" s="63" customFormat="1" ht="11.45" customHeight="1" x14ac:dyDescent="0.25">
      <c r="A140" s="13"/>
      <c r="B140" s="62"/>
      <c r="C140" s="16"/>
      <c r="D140" s="316"/>
      <c r="E140" s="316"/>
      <c r="F140" s="16"/>
      <c r="G140" s="226"/>
      <c r="H140" s="226"/>
      <c r="I140" s="14"/>
      <c r="J140" s="315"/>
      <c r="K140" s="315"/>
      <c r="L140" s="16"/>
      <c r="M140" s="226"/>
      <c r="N140" s="226"/>
      <c r="O140" s="16"/>
      <c r="P140" s="201"/>
      <c r="Q140" s="202"/>
      <c r="R140" s="17"/>
      <c r="S140" s="201"/>
      <c r="T140" s="202"/>
      <c r="U140" s="19"/>
      <c r="V140" s="11"/>
      <c r="W140" s="11"/>
      <c r="X140" s="11"/>
      <c r="Y140" s="13"/>
      <c r="Z140" s="147"/>
      <c r="AA140" s="14"/>
      <c r="AB140" s="205" t="str">
        <f>IF(AB139="","",VLOOKUP(AB139,mco_99,2,FALSE))</f>
        <v/>
      </c>
      <c r="AC140" s="206"/>
      <c r="AD140" s="22"/>
      <c r="AE140" s="287" t="str">
        <f>IF(AE139="","",VLOOKUP(AE139,mco_101,2,FALSE))</f>
        <v/>
      </c>
      <c r="AF140" s="169"/>
      <c r="AG140" s="22"/>
      <c r="AH140" s="313" t="str">
        <f>IF(AH139="","",VLOOKUP(AH139,mco_103,2,FALSE))</f>
        <v/>
      </c>
      <c r="AI140" s="314"/>
      <c r="AJ140" s="14"/>
      <c r="AK140" s="228" t="str">
        <f>IF(AK139="","",VLOOKUP(AK139,mco_105,2,FALSE))</f>
        <v/>
      </c>
      <c r="AL140" s="229"/>
      <c r="AM140" s="14"/>
      <c r="AN140" s="205" t="str">
        <f>IF(AN139="","",VLOOKUP(AN139,mco_89,2,FALSE))</f>
        <v/>
      </c>
      <c r="AO140" s="206"/>
      <c r="AP140" s="14"/>
      <c r="AQ140" s="488" t="str">
        <f>IF(AQ139="","",VLOOKUP(AQ139,mco_91,2,FALSE))</f>
        <v/>
      </c>
      <c r="AR140" s="489"/>
      <c r="AS140" s="14"/>
      <c r="AT140" s="241" t="str">
        <f>IF(AT139="","",VLOOKUP(AT139,mco_95,2,FALSE))</f>
        <v/>
      </c>
      <c r="AU140" s="241"/>
      <c r="AV140" s="23"/>
      <c r="AW140" s="24"/>
      <c r="AX140" s="83"/>
      <c r="AY140" s="147"/>
      <c r="AZ140" s="84"/>
      <c r="BA140" s="182" t="str">
        <f>IF(BA139="","",VLOOKUP(BA139,gpme_2,2,FALSE))</f>
        <v/>
      </c>
      <c r="BB140" s="183"/>
      <c r="BC140" s="84"/>
      <c r="BD140" s="182" t="str">
        <f>IF(BD139="","",VLOOKUP(BD139,gpme_2,2,FALSE))</f>
        <v/>
      </c>
      <c r="BE140" s="183"/>
      <c r="BF140" s="84"/>
      <c r="BG140" s="182" t="str">
        <f>IF(BG139="","",VLOOKUP(BG139,ndrc_7,2,FALSE))</f>
        <v/>
      </c>
      <c r="BH140" s="183"/>
      <c r="BI140" s="84"/>
      <c r="BJ140" s="205" t="str">
        <f>IF(BJ139="","",VLOOKUP(BJ139,ndrc_5,2,FALSE))</f>
        <v/>
      </c>
      <c r="BK140" s="206"/>
      <c r="BL140" s="84"/>
      <c r="BM140" s="168" t="str">
        <f>IF(BM139="","",VLOOKUP(BM139,rdc_14,2,FALSE))</f>
        <v/>
      </c>
      <c r="BN140" s="169"/>
      <c r="BO140" s="84"/>
      <c r="BP140" s="168" t="str">
        <f>IF(BP139="","",VLOOKUP(BP139,rdc_16,2,FALSE))</f>
        <v/>
      </c>
      <c r="BQ140" s="169"/>
      <c r="BR140" s="84"/>
      <c r="BS140" s="168" t="str">
        <f>IF(BS139="","",VLOOKUP(BS139,rh_1,2,FALSE))</f>
        <v/>
      </c>
      <c r="BT140" s="169"/>
      <c r="BU140" s="84"/>
      <c r="BV140" s="250" t="str">
        <f>IF(BV139="","",VLOOKUP(BV139,m_3,2,FALSE))</f>
        <v/>
      </c>
      <c r="BW140" s="251"/>
      <c r="BX140" s="91"/>
      <c r="BY140" s="168" t="str">
        <f>IF(BY139="","",VLOOKUP(BY139,rh_1,2,FALSE))</f>
        <v/>
      </c>
      <c r="BZ140" s="169"/>
      <c r="CA140" s="92"/>
    </row>
    <row r="141" spans="1:79" s="63" customFormat="1" ht="11.45" customHeight="1" thickBot="1" x14ac:dyDescent="0.3">
      <c r="A141" s="13"/>
      <c r="B141" s="32"/>
      <c r="C141" s="16"/>
      <c r="D141" s="282"/>
      <c r="E141" s="282"/>
      <c r="F141" s="16"/>
      <c r="G141" s="281"/>
      <c r="H141" s="281"/>
      <c r="I141" s="14"/>
      <c r="J141" s="279"/>
      <c r="K141" s="280"/>
      <c r="L141" s="16"/>
      <c r="M141" s="281"/>
      <c r="N141" s="281"/>
      <c r="O141" s="16"/>
      <c r="P141" s="203"/>
      <c r="Q141" s="204"/>
      <c r="R141" s="17"/>
      <c r="S141" s="203"/>
      <c r="T141" s="204"/>
      <c r="U141" s="19"/>
      <c r="V141" s="11"/>
      <c r="W141" s="11"/>
      <c r="X141" s="11"/>
      <c r="Y141" s="13"/>
      <c r="Z141" s="98"/>
      <c r="AA141" s="14"/>
      <c r="AB141" s="209"/>
      <c r="AC141" s="210"/>
      <c r="AD141" s="26"/>
      <c r="AE141" s="291"/>
      <c r="AF141" s="292"/>
      <c r="AG141" s="26"/>
      <c r="AH141" s="293"/>
      <c r="AI141" s="294"/>
      <c r="AJ141" s="14"/>
      <c r="AK141" s="223"/>
      <c r="AL141" s="224"/>
      <c r="AM141" s="14"/>
      <c r="AN141" s="209"/>
      <c r="AO141" s="210"/>
      <c r="AP141" s="14"/>
      <c r="AQ141" s="494"/>
      <c r="AR141" s="495"/>
      <c r="AS141" s="14"/>
      <c r="AT141" s="290"/>
      <c r="AU141" s="290"/>
      <c r="AV141" s="27"/>
      <c r="AW141" s="28"/>
      <c r="AX141" s="83"/>
      <c r="AY141" s="98"/>
      <c r="AZ141" s="100"/>
      <c r="BA141" s="184"/>
      <c r="BB141" s="196"/>
      <c r="BC141" s="100"/>
      <c r="BD141" s="184"/>
      <c r="BE141" s="196"/>
      <c r="BF141" s="100"/>
      <c r="BG141" s="184"/>
      <c r="BH141" s="185"/>
      <c r="BI141" s="100"/>
      <c r="BJ141" s="209"/>
      <c r="BK141" s="210"/>
      <c r="BL141" s="84"/>
      <c r="BM141" s="258"/>
      <c r="BN141" s="196"/>
      <c r="BO141" s="84"/>
      <c r="BP141" s="263"/>
      <c r="BQ141" s="264"/>
      <c r="BR141" s="84"/>
      <c r="BS141" s="263"/>
      <c r="BT141" s="264"/>
      <c r="BU141" s="84"/>
      <c r="BV141" s="256"/>
      <c r="BW141" s="257"/>
      <c r="BX141" s="94"/>
      <c r="BY141" s="263"/>
      <c r="BZ141" s="264"/>
      <c r="CA141" s="95"/>
    </row>
    <row r="142" spans="1:79" customFormat="1" ht="6" customHeight="1" thickBot="1" x14ac:dyDescent="0.3">
      <c r="A142" s="128"/>
      <c r="B142" s="70"/>
      <c r="C142" s="104"/>
      <c r="D142" s="105"/>
      <c r="E142" s="105"/>
      <c r="F142" s="104"/>
      <c r="G142" s="106"/>
      <c r="H142" s="106"/>
      <c r="I142" s="104"/>
      <c r="J142" s="105"/>
      <c r="K142" s="105"/>
      <c r="L142" s="104"/>
      <c r="M142" s="105"/>
      <c r="N142" s="105"/>
      <c r="O142" s="104"/>
      <c r="P142" s="106"/>
      <c r="Q142" s="106"/>
      <c r="R142" s="130"/>
      <c r="S142" s="106"/>
      <c r="T142" s="106"/>
      <c r="U142" s="129"/>
      <c r="V142" s="38"/>
      <c r="W142" s="38"/>
      <c r="X142" s="38"/>
      <c r="Y142" s="128"/>
      <c r="Z142" s="70"/>
      <c r="AA142" s="104"/>
      <c r="AB142" s="106"/>
      <c r="AC142" s="106"/>
      <c r="AD142" s="104"/>
      <c r="AE142" s="106"/>
      <c r="AF142" s="106"/>
      <c r="AG142" s="130"/>
      <c r="AH142" s="106"/>
      <c r="AI142" s="106"/>
      <c r="AJ142" s="104"/>
      <c r="AK142" s="106"/>
      <c r="AL142" s="106"/>
      <c r="AM142" s="104"/>
      <c r="AN142" s="105"/>
      <c r="AO142" s="105"/>
      <c r="AP142" s="104"/>
      <c r="AQ142" s="105"/>
      <c r="AR142" s="105"/>
      <c r="AS142" s="104"/>
      <c r="AT142" s="106"/>
      <c r="AU142" s="106"/>
      <c r="AV142" s="129"/>
      <c r="AW142" s="39"/>
      <c r="AX142" s="128"/>
      <c r="AY142" s="70"/>
      <c r="AZ142" s="104"/>
      <c r="BA142" s="105"/>
      <c r="BB142" s="105"/>
      <c r="BC142" s="104"/>
      <c r="BD142" s="105"/>
      <c r="BE142" s="105"/>
      <c r="BF142" s="130"/>
      <c r="BG142" s="106"/>
      <c r="BH142" s="106"/>
      <c r="BI142" s="104"/>
      <c r="BJ142" s="105"/>
      <c r="BK142" s="105"/>
      <c r="BL142" s="104"/>
      <c r="BM142" s="105"/>
      <c r="BN142" s="105"/>
      <c r="BO142" s="104"/>
      <c r="BP142" s="105"/>
      <c r="BQ142" s="105"/>
      <c r="BR142" s="104"/>
      <c r="BS142" s="105"/>
      <c r="BT142" s="105"/>
      <c r="BU142" s="104"/>
      <c r="BV142" s="106"/>
      <c r="BW142" s="106"/>
      <c r="BX142" s="104"/>
      <c r="BY142" s="105"/>
      <c r="BZ142" s="105"/>
      <c r="CA142" s="129"/>
    </row>
    <row r="143" spans="1:79" customFormat="1" ht="15" customHeight="1" x14ac:dyDescent="0.25">
      <c r="A143" s="1"/>
      <c r="D143" s="227"/>
      <c r="E143" s="227"/>
      <c r="F143" s="1"/>
      <c r="G143" s="227"/>
      <c r="H143" s="227"/>
      <c r="I143" s="1"/>
      <c r="J143" s="227"/>
      <c r="K143" s="22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38"/>
      <c r="W143" s="38"/>
      <c r="X143" s="38"/>
      <c r="Y143" s="1"/>
      <c r="AA143" s="1"/>
      <c r="AB143" s="227"/>
      <c r="AC143" s="227"/>
      <c r="AD143" s="1"/>
      <c r="AE143" s="227"/>
      <c r="AF143" s="227"/>
      <c r="AG143" s="1"/>
      <c r="AH143" s="227"/>
      <c r="AI143" s="227"/>
      <c r="AJ143" s="1"/>
      <c r="AK143" s="227"/>
      <c r="AL143" s="227"/>
      <c r="AM143" s="76"/>
      <c r="AN143" s="137"/>
      <c r="AO143" s="137"/>
      <c r="AP143" s="1"/>
      <c r="AQ143" s="227"/>
      <c r="AR143" s="227"/>
      <c r="AS143" s="1"/>
      <c r="AT143" s="227"/>
      <c r="AU143" s="227"/>
      <c r="AW143" s="39"/>
      <c r="AX143" s="76"/>
      <c r="AY143" s="75"/>
      <c r="AZ143" s="76"/>
      <c r="BA143" s="227"/>
      <c r="BB143" s="227"/>
      <c r="BC143" s="76"/>
      <c r="BD143" s="75"/>
      <c r="BE143" s="75"/>
      <c r="BF143" s="76"/>
      <c r="BG143" s="227"/>
      <c r="BH143" s="227"/>
      <c r="BI143" s="76"/>
      <c r="BJ143" s="227"/>
      <c r="BK143" s="227"/>
      <c r="BL143" s="76"/>
      <c r="BM143" s="227"/>
      <c r="BN143" s="227"/>
      <c r="BO143" s="75"/>
      <c r="BP143" s="75"/>
      <c r="BQ143" s="75"/>
      <c r="BR143" s="121"/>
      <c r="BS143" s="121"/>
      <c r="BT143" s="121"/>
      <c r="BU143" s="76"/>
      <c r="BV143" s="227"/>
      <c r="BW143" s="227"/>
      <c r="BX143" s="75"/>
      <c r="BY143" s="75"/>
      <c r="BZ143" s="75"/>
      <c r="CA143" s="75"/>
    </row>
    <row r="144" spans="1:79" customFormat="1" ht="15" customHeight="1" x14ac:dyDescent="0.25">
      <c r="A144" s="1"/>
      <c r="D144" s="227"/>
      <c r="E144" s="227"/>
      <c r="F144" s="1"/>
      <c r="G144" s="227"/>
      <c r="H144" s="227"/>
      <c r="I144" s="1"/>
      <c r="J144" s="227"/>
      <c r="K144" s="22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38"/>
      <c r="W144" s="38"/>
      <c r="X144" s="38"/>
      <c r="Y144" s="1"/>
      <c r="AA144" s="1"/>
      <c r="AB144" s="227"/>
      <c r="AC144" s="227"/>
      <c r="AD144" s="1"/>
      <c r="AE144" s="227"/>
      <c r="AF144" s="227"/>
      <c r="AG144" s="1"/>
      <c r="AH144" s="227"/>
      <c r="AI144" s="227"/>
      <c r="AJ144" s="1"/>
      <c r="AK144" s="227"/>
      <c r="AL144" s="227"/>
      <c r="AM144" s="76"/>
      <c r="AN144" s="137"/>
      <c r="AO144" s="137"/>
      <c r="AP144" s="1"/>
      <c r="AQ144" s="227"/>
      <c r="AR144" s="227"/>
      <c r="AS144" s="1"/>
      <c r="AT144" s="227"/>
      <c r="AU144" s="227"/>
      <c r="AW144" s="39"/>
      <c r="AX144" s="76"/>
      <c r="AY144" s="75"/>
      <c r="AZ144" s="76"/>
      <c r="BA144" s="227"/>
      <c r="BB144" s="227"/>
      <c r="BC144" s="76"/>
      <c r="BD144" s="75"/>
      <c r="BE144" s="75"/>
      <c r="BF144" s="76"/>
      <c r="BG144" s="227"/>
      <c r="BH144" s="227"/>
      <c r="BI144" s="76"/>
      <c r="BJ144" s="227"/>
      <c r="BK144" s="227"/>
      <c r="BL144" s="76"/>
      <c r="BM144" s="227"/>
      <c r="BN144" s="227"/>
      <c r="BO144" s="75"/>
      <c r="BP144" s="75"/>
      <c r="BQ144" s="75"/>
      <c r="BR144" s="121"/>
      <c r="BS144" s="121"/>
      <c r="BT144" s="121"/>
      <c r="BU144" s="76"/>
      <c r="BV144" s="227"/>
      <c r="BW144" s="227"/>
      <c r="BX144" s="75"/>
      <c r="BY144" s="75"/>
      <c r="BZ144" s="75"/>
      <c r="CA144" s="75"/>
    </row>
    <row r="145" spans="1:79" customFormat="1" ht="15" customHeight="1" x14ac:dyDescent="0.25">
      <c r="A145" s="1"/>
      <c r="D145" s="227"/>
      <c r="E145" s="227"/>
      <c r="F145" s="1"/>
      <c r="G145" s="227"/>
      <c r="H145" s="227"/>
      <c r="I145" s="1"/>
      <c r="J145" s="227"/>
      <c r="K145" s="22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38"/>
      <c r="W145" s="38"/>
      <c r="X145" s="38"/>
      <c r="Y145" s="1"/>
      <c r="AA145" s="1"/>
      <c r="AB145" s="227"/>
      <c r="AC145" s="227"/>
      <c r="AD145" s="1"/>
      <c r="AE145" s="227"/>
      <c r="AF145" s="227"/>
      <c r="AG145" s="1"/>
      <c r="AH145" s="227"/>
      <c r="AI145" s="227"/>
      <c r="AJ145" s="1"/>
      <c r="AK145" s="227"/>
      <c r="AL145" s="227"/>
      <c r="AM145" s="76"/>
      <c r="AN145" s="137"/>
      <c r="AO145" s="137"/>
      <c r="AP145" s="1"/>
      <c r="AQ145" s="227"/>
      <c r="AR145" s="227"/>
      <c r="AS145" s="1"/>
      <c r="AT145" s="227"/>
      <c r="AU145" s="227"/>
      <c r="AW145" s="39"/>
      <c r="AX145" s="76"/>
      <c r="AY145" s="75"/>
      <c r="AZ145" s="76"/>
      <c r="BA145" s="227"/>
      <c r="BB145" s="227"/>
      <c r="BC145" s="76"/>
      <c r="BD145" s="75"/>
      <c r="BE145" s="75"/>
      <c r="BF145" s="76"/>
      <c r="BG145" s="227"/>
      <c r="BH145" s="227"/>
      <c r="BI145" s="76"/>
      <c r="BJ145" s="227"/>
      <c r="BK145" s="227"/>
      <c r="BL145" s="76"/>
      <c r="BM145" s="227"/>
      <c r="BN145" s="227"/>
      <c r="BO145" s="75"/>
      <c r="BP145" s="75"/>
      <c r="BQ145" s="75"/>
      <c r="BR145" s="121"/>
      <c r="BS145" s="121"/>
      <c r="BT145" s="121"/>
      <c r="BU145" s="76"/>
      <c r="BV145" s="227"/>
      <c r="BW145" s="227"/>
      <c r="BX145" s="75"/>
      <c r="BY145" s="75"/>
      <c r="BZ145" s="75"/>
      <c r="CA145" s="75"/>
    </row>
    <row r="146" spans="1:79" customFormat="1" ht="15" customHeight="1" x14ac:dyDescent="0.25">
      <c r="A146" s="1"/>
      <c r="D146" s="227"/>
      <c r="E146" s="227"/>
      <c r="F146" s="1"/>
      <c r="G146" s="227"/>
      <c r="H146" s="227"/>
      <c r="I146" s="1"/>
      <c r="J146" s="227"/>
      <c r="K146" s="22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38"/>
      <c r="W146" s="38"/>
      <c r="X146" s="38"/>
      <c r="Y146" s="1"/>
      <c r="AA146" s="1"/>
      <c r="AB146" s="227"/>
      <c r="AC146" s="227"/>
      <c r="AD146" s="1"/>
      <c r="AE146" s="227"/>
      <c r="AF146" s="227"/>
      <c r="AG146" s="1"/>
      <c r="AH146" s="227"/>
      <c r="AI146" s="227"/>
      <c r="AJ146" s="1"/>
      <c r="AK146" s="227"/>
      <c r="AL146" s="227"/>
      <c r="AM146" s="76"/>
      <c r="AN146" s="137"/>
      <c r="AO146" s="137"/>
      <c r="AP146" s="1"/>
      <c r="AQ146" s="227"/>
      <c r="AR146" s="227"/>
      <c r="AS146" s="1"/>
      <c r="AT146" s="227"/>
      <c r="AU146" s="227"/>
      <c r="AW146" s="39"/>
      <c r="AX146" s="76"/>
      <c r="AY146" s="75"/>
      <c r="AZ146" s="76"/>
      <c r="BA146" s="227"/>
      <c r="BB146" s="227"/>
      <c r="BC146" s="76"/>
      <c r="BD146" s="75"/>
      <c r="BE146" s="75"/>
      <c r="BF146" s="76"/>
      <c r="BG146" s="227"/>
      <c r="BH146" s="227"/>
      <c r="BI146" s="76"/>
      <c r="BJ146" s="227"/>
      <c r="BK146" s="227"/>
      <c r="BL146" s="76"/>
      <c r="BM146" s="227"/>
      <c r="BN146" s="227"/>
      <c r="BO146" s="75"/>
      <c r="BP146" s="75"/>
      <c r="BQ146" s="75"/>
      <c r="BR146" s="121"/>
      <c r="BS146" s="121"/>
      <c r="BT146" s="121"/>
      <c r="BU146" s="76"/>
      <c r="BV146" s="227"/>
      <c r="BW146" s="227"/>
      <c r="BX146" s="75"/>
      <c r="BY146" s="75"/>
      <c r="BZ146" s="75"/>
      <c r="CA146" s="75"/>
    </row>
    <row r="147" spans="1:79" customFormat="1" ht="15" customHeight="1" x14ac:dyDescent="0.25">
      <c r="A147" s="1"/>
      <c r="D147" s="227"/>
      <c r="E147" s="227"/>
      <c r="F147" s="1"/>
      <c r="G147" s="227"/>
      <c r="H147" s="227"/>
      <c r="I147" s="1"/>
      <c r="J147" s="227"/>
      <c r="K147" s="22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38"/>
      <c r="W147" s="38"/>
      <c r="X147" s="38"/>
      <c r="Y147" s="1"/>
      <c r="AA147" s="1"/>
      <c r="AB147" s="227"/>
      <c r="AC147" s="227"/>
      <c r="AD147" s="1"/>
      <c r="AE147" s="227"/>
      <c r="AF147" s="227"/>
      <c r="AG147" s="1"/>
      <c r="AH147" s="227"/>
      <c r="AI147" s="227"/>
      <c r="AJ147" s="1"/>
      <c r="AK147" s="227"/>
      <c r="AL147" s="227"/>
      <c r="AM147" s="76"/>
      <c r="AN147" s="137"/>
      <c r="AO147" s="137"/>
      <c r="AP147" s="1"/>
      <c r="AQ147" s="227"/>
      <c r="AR147" s="227"/>
      <c r="AS147" s="1"/>
      <c r="AT147" s="227"/>
      <c r="AU147" s="227"/>
      <c r="AW147" s="39"/>
      <c r="AX147" s="76"/>
      <c r="AY147" s="75"/>
      <c r="AZ147" s="76"/>
      <c r="BA147" s="227"/>
      <c r="BB147" s="227"/>
      <c r="BC147" s="76"/>
      <c r="BD147" s="75"/>
      <c r="BE147" s="75"/>
      <c r="BF147" s="76"/>
      <c r="BG147" s="227"/>
      <c r="BH147" s="227"/>
      <c r="BI147" s="76"/>
      <c r="BJ147" s="227"/>
      <c r="BK147" s="227"/>
      <c r="BL147" s="76"/>
      <c r="BM147" s="227"/>
      <c r="BN147" s="227"/>
      <c r="BO147" s="75"/>
      <c r="BP147" s="75"/>
      <c r="BQ147" s="75"/>
      <c r="BR147" s="121"/>
      <c r="BS147" s="121"/>
      <c r="BT147" s="121"/>
      <c r="BU147" s="76"/>
      <c r="BV147" s="227"/>
      <c r="BW147" s="227"/>
      <c r="BX147" s="75"/>
      <c r="BY147" s="75"/>
      <c r="BZ147" s="75"/>
      <c r="CA147" s="75"/>
    </row>
    <row r="148" spans="1:79" customFormat="1" ht="15" customHeight="1" x14ac:dyDescent="0.25">
      <c r="A148" s="1"/>
      <c r="D148" s="227"/>
      <c r="E148" s="227"/>
      <c r="F148" s="1"/>
      <c r="G148" s="227"/>
      <c r="H148" s="227"/>
      <c r="I148" s="1"/>
      <c r="J148" s="227"/>
      <c r="K148" s="22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38"/>
      <c r="W148" s="38"/>
      <c r="X148" s="38"/>
      <c r="Y148" s="1"/>
      <c r="AA148" s="1"/>
      <c r="AB148" s="227"/>
      <c r="AC148" s="227"/>
      <c r="AD148" s="1"/>
      <c r="AE148" s="227"/>
      <c r="AF148" s="227"/>
      <c r="AG148" s="1"/>
      <c r="AH148" s="227"/>
      <c r="AI148" s="227"/>
      <c r="AJ148" s="1"/>
      <c r="AK148" s="227"/>
      <c r="AL148" s="227"/>
      <c r="AM148" s="76"/>
      <c r="AN148" s="137"/>
      <c r="AO148" s="137"/>
      <c r="AP148" s="1"/>
      <c r="AQ148" s="227"/>
      <c r="AR148" s="227"/>
      <c r="AS148" s="1"/>
      <c r="AT148" s="227"/>
      <c r="AU148" s="227"/>
      <c r="AW148" s="39"/>
      <c r="AX148" s="76"/>
      <c r="AY148" s="75"/>
      <c r="AZ148" s="76"/>
      <c r="BA148" s="227"/>
      <c r="BB148" s="227"/>
      <c r="BC148" s="76"/>
      <c r="BD148" s="75"/>
      <c r="BE148" s="75"/>
      <c r="BF148" s="76"/>
      <c r="BG148" s="227"/>
      <c r="BH148" s="227"/>
      <c r="BI148" s="76"/>
      <c r="BJ148" s="227"/>
      <c r="BK148" s="227"/>
      <c r="BL148" s="76"/>
      <c r="BM148" s="227"/>
      <c r="BN148" s="227"/>
      <c r="BO148" s="75"/>
      <c r="BP148" s="75"/>
      <c r="BQ148" s="75"/>
      <c r="BR148" s="121"/>
      <c r="BS148" s="121"/>
      <c r="BT148" s="121"/>
      <c r="BU148" s="76"/>
      <c r="BV148" s="227"/>
      <c r="BW148" s="227"/>
      <c r="BX148" s="75"/>
      <c r="BY148" s="75"/>
      <c r="BZ148" s="75"/>
      <c r="CA148" s="75"/>
    </row>
    <row r="149" spans="1:79" customFormat="1" ht="15" customHeight="1" x14ac:dyDescent="0.25">
      <c r="A149" s="1"/>
      <c r="D149" s="227"/>
      <c r="E149" s="227"/>
      <c r="F149" s="1"/>
      <c r="G149" s="227"/>
      <c r="H149" s="227"/>
      <c r="I149" s="1"/>
      <c r="J149" s="227"/>
      <c r="K149" s="22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38"/>
      <c r="W149" s="38"/>
      <c r="X149" s="38"/>
      <c r="Y149" s="1"/>
      <c r="AA149" s="1"/>
      <c r="AB149" s="227"/>
      <c r="AC149" s="227"/>
      <c r="AD149" s="1"/>
      <c r="AE149" s="227"/>
      <c r="AF149" s="227"/>
      <c r="AG149" s="1"/>
      <c r="AH149" s="227"/>
      <c r="AI149" s="227"/>
      <c r="AJ149" s="1"/>
      <c r="AK149" s="227"/>
      <c r="AL149" s="227"/>
      <c r="AM149" s="76"/>
      <c r="AN149" s="137"/>
      <c r="AO149" s="137"/>
      <c r="AP149" s="1"/>
      <c r="AQ149" s="227"/>
      <c r="AR149" s="227"/>
      <c r="AS149" s="1"/>
      <c r="AT149" s="227"/>
      <c r="AU149" s="227"/>
      <c r="AW149" s="39"/>
      <c r="AX149" s="76"/>
      <c r="AY149" s="75"/>
      <c r="AZ149" s="76"/>
      <c r="BA149" s="227"/>
      <c r="BB149" s="227"/>
      <c r="BC149" s="76"/>
      <c r="BD149" s="75"/>
      <c r="BE149" s="75"/>
      <c r="BF149" s="76"/>
      <c r="BG149" s="227"/>
      <c r="BH149" s="227"/>
      <c r="BI149" s="76"/>
      <c r="BJ149" s="227"/>
      <c r="BK149" s="227"/>
      <c r="BL149" s="76"/>
      <c r="BM149" s="227"/>
      <c r="BN149" s="227"/>
      <c r="BO149" s="75"/>
      <c r="BP149" s="75"/>
      <c r="BQ149" s="75"/>
      <c r="BR149" s="121"/>
      <c r="BS149" s="121"/>
      <c r="BT149" s="121"/>
      <c r="BU149" s="76"/>
      <c r="BV149" s="227"/>
      <c r="BW149" s="227"/>
      <c r="BX149" s="75"/>
      <c r="BY149" s="75"/>
      <c r="BZ149" s="75"/>
      <c r="CA149" s="75"/>
    </row>
    <row r="150" spans="1:79" customFormat="1" ht="15" customHeight="1" x14ac:dyDescent="0.25">
      <c r="A150" s="1"/>
      <c r="D150" s="227"/>
      <c r="E150" s="227"/>
      <c r="F150" s="1"/>
      <c r="G150" s="227"/>
      <c r="H150" s="227"/>
      <c r="I150" s="1"/>
      <c r="J150" s="227"/>
      <c r="K150" s="22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38"/>
      <c r="W150" s="38"/>
      <c r="X150" s="38"/>
      <c r="Y150" s="1"/>
      <c r="AA150" s="1"/>
      <c r="AB150" s="227"/>
      <c r="AC150" s="227"/>
      <c r="AD150" s="1"/>
      <c r="AE150" s="227"/>
      <c r="AF150" s="227"/>
      <c r="AG150" s="1"/>
      <c r="AH150" s="227"/>
      <c r="AI150" s="227"/>
      <c r="AJ150" s="1"/>
      <c r="AK150" s="227"/>
      <c r="AL150" s="227"/>
      <c r="AM150" s="76"/>
      <c r="AN150" s="137"/>
      <c r="AO150" s="137"/>
      <c r="AP150" s="1"/>
      <c r="AQ150" s="227"/>
      <c r="AR150" s="227"/>
      <c r="AS150" s="1"/>
      <c r="AT150" s="227"/>
      <c r="AU150" s="227"/>
      <c r="AW150" s="39"/>
      <c r="AX150" s="76"/>
      <c r="AY150" s="75"/>
      <c r="AZ150" s="76"/>
      <c r="BA150" s="227"/>
      <c r="BB150" s="227"/>
      <c r="BC150" s="76"/>
      <c r="BD150" s="75"/>
      <c r="BE150" s="75"/>
      <c r="BF150" s="76"/>
      <c r="BG150" s="227"/>
      <c r="BH150" s="227"/>
      <c r="BI150" s="76"/>
      <c r="BJ150" s="227"/>
      <c r="BK150" s="227"/>
      <c r="BL150" s="76"/>
      <c r="BM150" s="227"/>
      <c r="BN150" s="227"/>
      <c r="BO150" s="75"/>
      <c r="BP150" s="75"/>
      <c r="BQ150" s="75"/>
      <c r="BR150" s="121"/>
      <c r="BS150" s="121"/>
      <c r="BT150" s="121"/>
      <c r="BU150" s="76"/>
      <c r="BV150" s="227"/>
      <c r="BW150" s="227"/>
      <c r="BX150" s="75"/>
      <c r="BY150" s="75"/>
      <c r="BZ150" s="75"/>
      <c r="CA150" s="75"/>
    </row>
    <row r="151" spans="1:79" customFormat="1" ht="15" customHeight="1" x14ac:dyDescent="0.25">
      <c r="A151" s="1"/>
      <c r="D151" s="227"/>
      <c r="E151" s="227"/>
      <c r="F151" s="1"/>
      <c r="G151" s="227"/>
      <c r="H151" s="227"/>
      <c r="I151" s="1"/>
      <c r="J151" s="227"/>
      <c r="K151" s="22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38"/>
      <c r="W151" s="38"/>
      <c r="X151" s="38"/>
      <c r="Y151" s="1"/>
      <c r="AA151" s="1"/>
      <c r="AB151" s="227"/>
      <c r="AC151" s="227"/>
      <c r="AD151" s="1"/>
      <c r="AE151" s="227"/>
      <c r="AF151" s="227"/>
      <c r="AG151" s="1"/>
      <c r="AH151" s="227"/>
      <c r="AI151" s="227"/>
      <c r="AJ151" s="1"/>
      <c r="AK151" s="227"/>
      <c r="AL151" s="227"/>
      <c r="AM151" s="76"/>
      <c r="AN151" s="137"/>
      <c r="AO151" s="137"/>
      <c r="AP151" s="1"/>
      <c r="AQ151" s="227"/>
      <c r="AR151" s="227"/>
      <c r="AS151" s="1"/>
      <c r="AT151" s="227"/>
      <c r="AU151" s="227"/>
      <c r="AW151" s="39"/>
      <c r="AX151" s="76"/>
      <c r="AY151" s="75"/>
      <c r="AZ151" s="76"/>
      <c r="BA151" s="227"/>
      <c r="BB151" s="227"/>
      <c r="BC151" s="76"/>
      <c r="BD151" s="75"/>
      <c r="BE151" s="75"/>
      <c r="BF151" s="76"/>
      <c r="BG151" s="227"/>
      <c r="BH151" s="227"/>
      <c r="BI151" s="76"/>
      <c r="BJ151" s="227"/>
      <c r="BK151" s="227"/>
      <c r="BL151" s="76"/>
      <c r="BM151" s="227"/>
      <c r="BN151" s="227"/>
      <c r="BO151" s="75"/>
      <c r="BP151" s="75"/>
      <c r="BQ151" s="75"/>
      <c r="BR151" s="121"/>
      <c r="BS151" s="121"/>
      <c r="BT151" s="121"/>
      <c r="BU151" s="76"/>
      <c r="BV151" s="227"/>
      <c r="BW151" s="227"/>
      <c r="BX151" s="75"/>
      <c r="BY151" s="75"/>
      <c r="BZ151" s="75"/>
      <c r="CA151" s="75"/>
    </row>
    <row r="152" spans="1:79" customFormat="1" ht="15" customHeight="1" x14ac:dyDescent="0.25">
      <c r="A152" s="1"/>
      <c r="D152" s="227"/>
      <c r="E152" s="227"/>
      <c r="F152" s="1"/>
      <c r="G152" s="227"/>
      <c r="H152" s="227"/>
      <c r="I152" s="1"/>
      <c r="J152" s="227"/>
      <c r="K152" s="22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38"/>
      <c r="W152" s="38"/>
      <c r="X152" s="38"/>
      <c r="Y152" s="1"/>
      <c r="AA152" s="1"/>
      <c r="AB152" s="227"/>
      <c r="AC152" s="227"/>
      <c r="AD152" s="1"/>
      <c r="AE152" s="227"/>
      <c r="AF152" s="227"/>
      <c r="AG152" s="1"/>
      <c r="AH152" s="227"/>
      <c r="AI152" s="227"/>
      <c r="AJ152" s="1"/>
      <c r="AK152" s="227"/>
      <c r="AL152" s="227"/>
      <c r="AM152" s="76"/>
      <c r="AN152" s="137"/>
      <c r="AO152" s="137"/>
      <c r="AP152" s="1"/>
      <c r="AQ152" s="227"/>
      <c r="AR152" s="227"/>
      <c r="AS152" s="1"/>
      <c r="AT152" s="227"/>
      <c r="AU152" s="227"/>
      <c r="AW152" s="39"/>
      <c r="AX152" s="76"/>
      <c r="AY152" s="75"/>
      <c r="AZ152" s="76"/>
      <c r="BA152" s="227"/>
      <c r="BB152" s="227"/>
      <c r="BC152" s="76"/>
      <c r="BD152" s="75"/>
      <c r="BE152" s="75"/>
      <c r="BF152" s="76"/>
      <c r="BG152" s="227"/>
      <c r="BH152" s="227"/>
      <c r="BI152" s="76"/>
      <c r="BJ152" s="227"/>
      <c r="BK152" s="227"/>
      <c r="BL152" s="76"/>
      <c r="BM152" s="227"/>
      <c r="BN152" s="227"/>
      <c r="BO152" s="75"/>
      <c r="BP152" s="75"/>
      <c r="BQ152" s="75"/>
      <c r="BR152" s="121"/>
      <c r="BS152" s="121"/>
      <c r="BT152" s="121"/>
      <c r="BU152" s="76"/>
      <c r="BV152" s="227"/>
      <c r="BW152" s="227"/>
      <c r="BX152" s="75"/>
      <c r="BY152" s="75"/>
      <c r="BZ152" s="75"/>
      <c r="CA152" s="75"/>
    </row>
    <row r="153" spans="1:79" customFormat="1" ht="15" customHeight="1" x14ac:dyDescent="0.25">
      <c r="A153" s="1"/>
      <c r="D153" s="227"/>
      <c r="E153" s="227"/>
      <c r="F153" s="1"/>
      <c r="G153" s="227"/>
      <c r="H153" s="227"/>
      <c r="I153" s="1"/>
      <c r="J153" s="227"/>
      <c r="K153" s="22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38"/>
      <c r="W153" s="38"/>
      <c r="X153" s="38"/>
      <c r="Y153" s="1"/>
      <c r="AA153" s="1"/>
      <c r="AB153" s="227"/>
      <c r="AC153" s="227"/>
      <c r="AD153" s="1"/>
      <c r="AE153" s="227"/>
      <c r="AF153" s="227"/>
      <c r="AG153" s="1"/>
      <c r="AH153" s="227"/>
      <c r="AI153" s="227"/>
      <c r="AJ153" s="1"/>
      <c r="AK153" s="227"/>
      <c r="AL153" s="227"/>
      <c r="AM153" s="76"/>
      <c r="AN153" s="137"/>
      <c r="AO153" s="137"/>
      <c r="AP153" s="1"/>
      <c r="AQ153" s="227"/>
      <c r="AR153" s="227"/>
      <c r="AS153" s="1"/>
      <c r="AT153" s="227"/>
      <c r="AU153" s="227"/>
      <c r="AW153" s="39"/>
      <c r="AX153" s="76"/>
      <c r="AY153" s="75"/>
      <c r="AZ153" s="76"/>
      <c r="BA153" s="227"/>
      <c r="BB153" s="227"/>
      <c r="BC153" s="76"/>
      <c r="BD153" s="75"/>
      <c r="BE153" s="75"/>
      <c r="BF153" s="76"/>
      <c r="BG153" s="227"/>
      <c r="BH153" s="227"/>
      <c r="BI153" s="76"/>
      <c r="BJ153" s="227"/>
      <c r="BK153" s="227"/>
      <c r="BL153" s="76"/>
      <c r="BM153" s="227"/>
      <c r="BN153" s="227"/>
      <c r="BO153" s="75"/>
      <c r="BP153" s="75"/>
      <c r="BQ153" s="75"/>
      <c r="BR153" s="121"/>
      <c r="BS153" s="121"/>
      <c r="BT153" s="121"/>
      <c r="BU153" s="76"/>
      <c r="BV153" s="227"/>
      <c r="BW153" s="227"/>
      <c r="BX153" s="75"/>
      <c r="BY153" s="75"/>
      <c r="BZ153" s="75"/>
      <c r="CA153" s="75"/>
    </row>
    <row r="154" spans="1:79" customFormat="1" ht="15" customHeight="1" x14ac:dyDescent="0.25">
      <c r="A154" s="1"/>
      <c r="D154" s="227"/>
      <c r="E154" s="227"/>
      <c r="F154" s="1"/>
      <c r="G154" s="227"/>
      <c r="H154" s="227"/>
      <c r="I154" s="1"/>
      <c r="J154" s="227"/>
      <c r="K154" s="22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38"/>
      <c r="W154" s="38"/>
      <c r="X154" s="38"/>
      <c r="Y154" s="1"/>
      <c r="AA154" s="1"/>
      <c r="AB154" s="227"/>
      <c r="AC154" s="227"/>
      <c r="AD154" s="1"/>
      <c r="AE154" s="227"/>
      <c r="AF154" s="227"/>
      <c r="AG154" s="1"/>
      <c r="AH154" s="227"/>
      <c r="AI154" s="227"/>
      <c r="AJ154" s="1"/>
      <c r="AK154" s="227"/>
      <c r="AL154" s="227"/>
      <c r="AM154" s="76"/>
      <c r="AN154" s="137"/>
      <c r="AO154" s="137"/>
      <c r="AP154" s="1"/>
      <c r="AQ154" s="227"/>
      <c r="AR154" s="227"/>
      <c r="AS154" s="1"/>
      <c r="AT154" s="227"/>
      <c r="AU154" s="227"/>
      <c r="AW154" s="39"/>
      <c r="AX154" s="76"/>
      <c r="AY154" s="75"/>
      <c r="AZ154" s="76"/>
      <c r="BA154" s="227"/>
      <c r="BB154" s="227"/>
      <c r="BC154" s="76"/>
      <c r="BD154" s="75"/>
      <c r="BE154" s="75"/>
      <c r="BF154" s="76"/>
      <c r="BG154" s="227"/>
      <c r="BH154" s="227"/>
      <c r="BI154" s="76"/>
      <c r="BJ154" s="227"/>
      <c r="BK154" s="227"/>
      <c r="BL154" s="76"/>
      <c r="BM154" s="227"/>
      <c r="BN154" s="227"/>
      <c r="BO154" s="75"/>
      <c r="BP154" s="75"/>
      <c r="BQ154" s="75"/>
      <c r="BR154" s="121"/>
      <c r="BS154" s="121"/>
      <c r="BT154" s="121"/>
      <c r="BU154" s="76"/>
      <c r="BV154" s="227"/>
      <c r="BW154" s="227"/>
      <c r="BX154" s="75"/>
      <c r="BY154" s="75"/>
      <c r="BZ154" s="75"/>
      <c r="CA154" s="75"/>
    </row>
    <row r="155" spans="1:79" customFormat="1" ht="15" customHeight="1" x14ac:dyDescent="0.25">
      <c r="A155" s="1"/>
      <c r="D155" s="227"/>
      <c r="E155" s="227"/>
      <c r="F155" s="1"/>
      <c r="G155" s="227"/>
      <c r="H155" s="227"/>
      <c r="I155" s="1"/>
      <c r="J155" s="227"/>
      <c r="K155" s="22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38"/>
      <c r="W155" s="38"/>
      <c r="X155" s="38"/>
      <c r="Y155" s="1"/>
      <c r="AA155" s="1"/>
      <c r="AB155" s="227"/>
      <c r="AC155" s="227"/>
      <c r="AD155" s="1"/>
      <c r="AE155" s="227"/>
      <c r="AF155" s="227"/>
      <c r="AG155" s="1"/>
      <c r="AH155" s="227"/>
      <c r="AI155" s="227"/>
      <c r="AJ155" s="1"/>
      <c r="AK155" s="227"/>
      <c r="AL155" s="227"/>
      <c r="AM155" s="76"/>
      <c r="AN155" s="137"/>
      <c r="AO155" s="137"/>
      <c r="AP155" s="1"/>
      <c r="AQ155" s="227"/>
      <c r="AR155" s="227"/>
      <c r="AS155" s="1"/>
      <c r="AT155" s="227"/>
      <c r="AU155" s="227"/>
      <c r="AW155" s="39"/>
      <c r="AX155" s="76"/>
      <c r="AY155" s="75"/>
      <c r="AZ155" s="76"/>
      <c r="BA155" s="227"/>
      <c r="BB155" s="227"/>
      <c r="BC155" s="76"/>
      <c r="BD155" s="75"/>
      <c r="BE155" s="75"/>
      <c r="BF155" s="76"/>
      <c r="BG155" s="227"/>
      <c r="BH155" s="227"/>
      <c r="BI155" s="76"/>
      <c r="BJ155" s="227"/>
      <c r="BK155" s="227"/>
      <c r="BL155" s="76"/>
      <c r="BM155" s="227"/>
      <c r="BN155" s="227"/>
      <c r="BO155" s="75"/>
      <c r="BP155" s="75"/>
      <c r="BQ155" s="75"/>
      <c r="BR155" s="121"/>
      <c r="BS155" s="121"/>
      <c r="BT155" s="121"/>
      <c r="BU155" s="76"/>
      <c r="BV155" s="227"/>
      <c r="BW155" s="227"/>
      <c r="BX155" s="75"/>
      <c r="BY155" s="75"/>
      <c r="BZ155" s="75"/>
      <c r="CA155" s="75"/>
    </row>
    <row r="156" spans="1:79" customFormat="1" ht="15" customHeight="1" x14ac:dyDescent="0.25">
      <c r="A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38"/>
      <c r="W156" s="38"/>
      <c r="X156" s="38"/>
      <c r="Y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76"/>
      <c r="AN156" s="137"/>
      <c r="AO156" s="137"/>
      <c r="AP156" s="1"/>
      <c r="AQ156" s="1"/>
      <c r="AR156" s="1"/>
      <c r="AS156" s="1"/>
      <c r="AT156" s="1"/>
      <c r="AU156" s="1"/>
      <c r="AW156" s="39"/>
      <c r="AX156" s="76"/>
      <c r="AY156" s="75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121"/>
      <c r="BT156" s="121"/>
      <c r="BU156" s="76"/>
      <c r="BV156" s="76"/>
      <c r="BW156" s="76"/>
      <c r="BX156" s="76"/>
      <c r="BY156" s="76"/>
      <c r="BZ156" s="76"/>
      <c r="CA156" s="75"/>
    </row>
    <row r="157" spans="1:79" customFormat="1" ht="15" customHeight="1" x14ac:dyDescent="0.25">
      <c r="A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38"/>
      <c r="W157" s="38"/>
      <c r="X157" s="38"/>
      <c r="Y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76"/>
      <c r="AN157" s="76"/>
      <c r="AO157" s="76"/>
      <c r="AP157" s="1"/>
      <c r="AQ157" s="1"/>
      <c r="AR157" s="1"/>
      <c r="AS157" s="1"/>
      <c r="AT157" s="1"/>
      <c r="AU157" s="1"/>
      <c r="AW157" s="39"/>
      <c r="AX157" s="76"/>
      <c r="AY157" s="75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5"/>
    </row>
    <row r="158" spans="1:79" customFormat="1" ht="15" customHeight="1" x14ac:dyDescent="0.25">
      <c r="A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38"/>
      <c r="W158" s="38"/>
      <c r="X158" s="38"/>
      <c r="Y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76"/>
      <c r="AN158" s="76"/>
      <c r="AO158" s="76"/>
      <c r="AP158" s="1"/>
      <c r="AQ158" s="1"/>
      <c r="AR158" s="1"/>
      <c r="AS158" s="1"/>
      <c r="AT158" s="1"/>
      <c r="AU158" s="1"/>
      <c r="AW158" s="39"/>
      <c r="AX158" s="76"/>
      <c r="AY158" s="75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5"/>
    </row>
    <row r="159" spans="1:79" customFormat="1" ht="15" customHeight="1" x14ac:dyDescent="0.25">
      <c r="A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38"/>
      <c r="W159" s="38"/>
      <c r="X159" s="38"/>
      <c r="Y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76"/>
      <c r="AN159" s="76"/>
      <c r="AO159" s="76"/>
      <c r="AP159" s="1"/>
      <c r="AQ159" s="1"/>
      <c r="AR159" s="1"/>
      <c r="AS159" s="1"/>
      <c r="AT159" s="1"/>
      <c r="AU159" s="1"/>
      <c r="AW159" s="39"/>
      <c r="AX159" s="76"/>
      <c r="AY159" s="75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5"/>
    </row>
    <row r="160" spans="1:79" customFormat="1" ht="15" customHeight="1" x14ac:dyDescent="0.25">
      <c r="A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38"/>
      <c r="W160" s="38"/>
      <c r="X160" s="38"/>
      <c r="Y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76"/>
      <c r="AN160" s="76"/>
      <c r="AO160" s="76"/>
      <c r="AP160" s="1"/>
      <c r="AQ160" s="1"/>
      <c r="AR160" s="1"/>
      <c r="AS160" s="1"/>
      <c r="AT160" s="1"/>
      <c r="AU160" s="1"/>
      <c r="AW160" s="39"/>
      <c r="AX160" s="76"/>
      <c r="AY160" s="75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5"/>
    </row>
    <row r="161" spans="1:79" customFormat="1" ht="15" customHeight="1" x14ac:dyDescent="0.25">
      <c r="A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38"/>
      <c r="W161" s="38"/>
      <c r="X161" s="38"/>
      <c r="Y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76"/>
      <c r="AN161" s="76"/>
      <c r="AO161" s="76"/>
      <c r="AP161" s="1"/>
      <c r="AQ161" s="1"/>
      <c r="AR161" s="1"/>
      <c r="AS161" s="1"/>
      <c r="AT161" s="1"/>
      <c r="AU161" s="1"/>
      <c r="AW161" s="39"/>
      <c r="AX161" s="76"/>
      <c r="AY161" s="75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5"/>
    </row>
    <row r="162" spans="1:79" customFormat="1" ht="15" customHeight="1" x14ac:dyDescent="0.25">
      <c r="A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38"/>
      <c r="W162" s="38"/>
      <c r="X162" s="38"/>
      <c r="Y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76"/>
      <c r="AN162" s="76"/>
      <c r="AO162" s="76"/>
      <c r="AP162" s="1"/>
      <c r="AQ162" s="1"/>
      <c r="AR162" s="1"/>
      <c r="AS162" s="1"/>
      <c r="AT162" s="1"/>
      <c r="AU162" s="1"/>
      <c r="AW162" s="39"/>
      <c r="AX162" s="76"/>
      <c r="AY162" s="75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5"/>
    </row>
    <row r="163" spans="1:79" customFormat="1" ht="15" customHeight="1" x14ac:dyDescent="0.25">
      <c r="A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38"/>
      <c r="W163" s="38"/>
      <c r="X163" s="38"/>
      <c r="Y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76"/>
      <c r="AN163" s="76"/>
      <c r="AO163" s="76"/>
      <c r="AP163" s="1"/>
      <c r="AQ163" s="1"/>
      <c r="AR163" s="1"/>
      <c r="AS163" s="1"/>
      <c r="AT163" s="1"/>
      <c r="AU163" s="1"/>
      <c r="AW163" s="39"/>
      <c r="AX163" s="76"/>
      <c r="AY163" s="75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5"/>
    </row>
    <row r="164" spans="1:79" customFormat="1" ht="15" customHeight="1" x14ac:dyDescent="0.25">
      <c r="A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38"/>
      <c r="W164" s="38"/>
      <c r="X164" s="38"/>
      <c r="Y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76"/>
      <c r="AN164" s="76"/>
      <c r="AO164" s="76"/>
      <c r="AP164" s="1"/>
      <c r="AQ164" s="1"/>
      <c r="AR164" s="1"/>
      <c r="AS164" s="1"/>
      <c r="AT164" s="1"/>
      <c r="AU164" s="1"/>
      <c r="AW164" s="39"/>
      <c r="AX164" s="76"/>
      <c r="AY164" s="75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5"/>
    </row>
    <row r="165" spans="1:79" customFormat="1" ht="15" customHeight="1" x14ac:dyDescent="0.25">
      <c r="A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38"/>
      <c r="W165" s="38"/>
      <c r="X165" s="38"/>
      <c r="Y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76"/>
      <c r="AN165" s="76"/>
      <c r="AO165" s="76"/>
      <c r="AP165" s="1"/>
      <c r="AQ165" s="1"/>
      <c r="AR165" s="1"/>
      <c r="AS165" s="1"/>
      <c r="AT165" s="1"/>
      <c r="AU165" s="1"/>
      <c r="AW165" s="39"/>
      <c r="AX165" s="76"/>
      <c r="AY165" s="75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5"/>
    </row>
  </sheetData>
  <mergeCells count="3129">
    <mergeCell ref="BS11:BT11"/>
    <mergeCell ref="BV11:BW11"/>
    <mergeCell ref="BY11:BZ11"/>
    <mergeCell ref="BV8:BW8"/>
    <mergeCell ref="BY8:BZ8"/>
    <mergeCell ref="AK10:AL10"/>
    <mergeCell ref="AN10:AO10"/>
    <mergeCell ref="AQ10:AR10"/>
    <mergeCell ref="AT10:AU10"/>
    <mergeCell ref="BA10:BB10"/>
    <mergeCell ref="BD10:BE10"/>
    <mergeCell ref="BG10:BH10"/>
    <mergeCell ref="AB9:AC9"/>
    <mergeCell ref="BG9:BH9"/>
    <mergeCell ref="BG11:BH11"/>
    <mergeCell ref="BJ11:BK11"/>
    <mergeCell ref="BP11:BQ11"/>
    <mergeCell ref="J9:K9"/>
    <mergeCell ref="M9:N9"/>
    <mergeCell ref="P9:Q9"/>
    <mergeCell ref="S9:T9"/>
    <mergeCell ref="G9:H9"/>
    <mergeCell ref="AH9:AI9"/>
    <mergeCell ref="AE11:AF11"/>
    <mergeCell ref="AK11:AL11"/>
    <mergeCell ref="AN11:AO11"/>
    <mergeCell ref="AQ11:AR11"/>
    <mergeCell ref="AT11:AU11"/>
    <mergeCell ref="BA11:BB11"/>
    <mergeCell ref="BD11:BE11"/>
    <mergeCell ref="BM11:BN11"/>
    <mergeCell ref="BP10:BQ10"/>
    <mergeCell ref="BS10:BT10"/>
    <mergeCell ref="BV10:BW10"/>
    <mergeCell ref="BY10:BZ10"/>
    <mergeCell ref="BG7:BH7"/>
    <mergeCell ref="BJ7:BK7"/>
    <mergeCell ref="BM7:BN7"/>
    <mergeCell ref="BP7:BQ7"/>
    <mergeCell ref="BS7:BT7"/>
    <mergeCell ref="BV7:BW7"/>
    <mergeCell ref="BY7:BZ7"/>
    <mergeCell ref="D8:E8"/>
    <mergeCell ref="G8:H8"/>
    <mergeCell ref="J8:K8"/>
    <mergeCell ref="M8:N8"/>
    <mergeCell ref="P8:Q8"/>
    <mergeCell ref="S8:T8"/>
    <mergeCell ref="AB8:AC8"/>
    <mergeCell ref="AE8:AF8"/>
    <mergeCell ref="AH8:AI8"/>
    <mergeCell ref="AK8:AL8"/>
    <mergeCell ref="AN8:AO8"/>
    <mergeCell ref="AQ8:AR8"/>
    <mergeCell ref="AT8:AU8"/>
    <mergeCell ref="BA8:BB8"/>
    <mergeCell ref="BD8:BE8"/>
    <mergeCell ref="D10:E10"/>
    <mergeCell ref="G10:H10"/>
    <mergeCell ref="J10:K10"/>
    <mergeCell ref="M10:N10"/>
    <mergeCell ref="P10:Q10"/>
    <mergeCell ref="S10:T10"/>
    <mergeCell ref="D24:E24"/>
    <mergeCell ref="G24:H24"/>
    <mergeCell ref="D23:E23"/>
    <mergeCell ref="G23:H23"/>
    <mergeCell ref="BV6:BW6"/>
    <mergeCell ref="BY6:BZ6"/>
    <mergeCell ref="D7:E7"/>
    <mergeCell ref="G7:H7"/>
    <mergeCell ref="J7:K7"/>
    <mergeCell ref="M7:N7"/>
    <mergeCell ref="P7:Q7"/>
    <mergeCell ref="S7:T7"/>
    <mergeCell ref="AB7:AC7"/>
    <mergeCell ref="AE7:AF7"/>
    <mergeCell ref="AH7:AI7"/>
    <mergeCell ref="AK7:AL7"/>
    <mergeCell ref="AN7:AO7"/>
    <mergeCell ref="AQ7:AR7"/>
    <mergeCell ref="AT7:AU7"/>
    <mergeCell ref="BA7:BB7"/>
    <mergeCell ref="BD7:BE7"/>
    <mergeCell ref="BG8:BH8"/>
    <mergeCell ref="BJ8:BK8"/>
    <mergeCell ref="BM8:BN8"/>
    <mergeCell ref="BP8:BQ8"/>
    <mergeCell ref="BS8:BT8"/>
    <mergeCell ref="AK6:AL6"/>
    <mergeCell ref="AN6:AO6"/>
    <mergeCell ref="AQ6:AR6"/>
    <mergeCell ref="AT6:AU6"/>
    <mergeCell ref="BA6:BB6"/>
    <mergeCell ref="BD6:BE6"/>
    <mergeCell ref="S23:T23"/>
    <mergeCell ref="D6:E6"/>
    <mergeCell ref="G6:H6"/>
    <mergeCell ref="J6:K6"/>
    <mergeCell ref="M6:N6"/>
    <mergeCell ref="P6:Q6"/>
    <mergeCell ref="S6:T6"/>
    <mergeCell ref="AB6:AC6"/>
    <mergeCell ref="AE6:AF6"/>
    <mergeCell ref="AH6:AI6"/>
    <mergeCell ref="D11:E11"/>
    <mergeCell ref="G11:H11"/>
    <mergeCell ref="J11:K11"/>
    <mergeCell ref="M11:N11"/>
    <mergeCell ref="P11:Q11"/>
    <mergeCell ref="S11:T11"/>
    <mergeCell ref="AB11:AC11"/>
    <mergeCell ref="AE10:AF10"/>
    <mergeCell ref="AH11:AI11"/>
    <mergeCell ref="AE14:AF14"/>
    <mergeCell ref="AE16:AF16"/>
    <mergeCell ref="AE17:AF17"/>
    <mergeCell ref="G22:H22"/>
    <mergeCell ref="AB10:AC10"/>
    <mergeCell ref="AE9:AF9"/>
    <mergeCell ref="AH10:AI10"/>
    <mergeCell ref="AE12:AF12"/>
    <mergeCell ref="S131:T131"/>
    <mergeCell ref="S116:T116"/>
    <mergeCell ref="S114:T114"/>
    <mergeCell ref="S110:T110"/>
    <mergeCell ref="S104:T104"/>
    <mergeCell ref="S102:T102"/>
    <mergeCell ref="S83:T83"/>
    <mergeCell ref="S84:T84"/>
    <mergeCell ref="S82:T82"/>
    <mergeCell ref="S79:T79"/>
    <mergeCell ref="P79:Q79"/>
    <mergeCell ref="S75:T75"/>
    <mergeCell ref="S71:T71"/>
    <mergeCell ref="S70:T70"/>
    <mergeCell ref="P70:Q70"/>
    <mergeCell ref="S56:T56"/>
    <mergeCell ref="S50:T50"/>
    <mergeCell ref="P58:Q58"/>
    <mergeCell ref="S125:T125"/>
    <mergeCell ref="BS98:BT98"/>
    <mergeCell ref="BS99:BT99"/>
    <mergeCell ref="BS100:BT100"/>
    <mergeCell ref="BS101:BT101"/>
    <mergeCell ref="BS102:BT102"/>
    <mergeCell ref="BS103:BT103"/>
    <mergeCell ref="BS105:BT105"/>
    <mergeCell ref="BS106:BT106"/>
    <mergeCell ref="BS107:BT107"/>
    <mergeCell ref="BS108:BT108"/>
    <mergeCell ref="BS109:BT109"/>
    <mergeCell ref="BS104:BT104"/>
    <mergeCell ref="BS78:BT78"/>
    <mergeCell ref="BS110:BT110"/>
    <mergeCell ref="BS111:BT111"/>
    <mergeCell ref="BG12:BH12"/>
    <mergeCell ref="BG13:BH13"/>
    <mergeCell ref="BG14:BH14"/>
    <mergeCell ref="BG15:BH15"/>
    <mergeCell ref="BG16:BH16"/>
    <mergeCell ref="BG17:BH17"/>
    <mergeCell ref="BG18:BH18"/>
    <mergeCell ref="BG19:BH19"/>
    <mergeCell ref="BG20:BH20"/>
    <mergeCell ref="BG21:BH21"/>
    <mergeCell ref="BG22:BH22"/>
    <mergeCell ref="BG23:BH23"/>
    <mergeCell ref="BS42:BT42"/>
    <mergeCell ref="BS112:BT112"/>
    <mergeCell ref="BS113:BT113"/>
    <mergeCell ref="BS114:BT114"/>
    <mergeCell ref="BS115:BT115"/>
    <mergeCell ref="BS116:BT116"/>
    <mergeCell ref="BS117:BT117"/>
    <mergeCell ref="BS118:BT118"/>
    <mergeCell ref="BS119:BT119"/>
    <mergeCell ref="BS120:BT120"/>
    <mergeCell ref="BS121:BT121"/>
    <mergeCell ref="BS122:BT122"/>
    <mergeCell ref="BS124:BT124"/>
    <mergeCell ref="BS125:BT125"/>
    <mergeCell ref="BS126:BT126"/>
    <mergeCell ref="BS140:BT140"/>
    <mergeCell ref="BS141:BT141"/>
    <mergeCell ref="BS79:BT79"/>
    <mergeCell ref="BS80:BT80"/>
    <mergeCell ref="BS81:BT81"/>
    <mergeCell ref="BS82:BT82"/>
    <mergeCell ref="BS83:BT83"/>
    <mergeCell ref="BS84:BT84"/>
    <mergeCell ref="BS85:BT85"/>
    <mergeCell ref="BS86:BT86"/>
    <mergeCell ref="BS87:BT87"/>
    <mergeCell ref="BS88:BT88"/>
    <mergeCell ref="BS89:BT89"/>
    <mergeCell ref="BS90:BT90"/>
    <mergeCell ref="BS91:BT91"/>
    <mergeCell ref="BS93:BT93"/>
    <mergeCell ref="BS94:BT94"/>
    <mergeCell ref="BS17:BT17"/>
    <mergeCell ref="BS18:BT18"/>
    <mergeCell ref="BS19:BT19"/>
    <mergeCell ref="BS20:BT20"/>
    <mergeCell ref="BS21:BT21"/>
    <mergeCell ref="BS22:BT22"/>
    <mergeCell ref="BS23:BT23"/>
    <mergeCell ref="BS24:BT24"/>
    <mergeCell ref="BS25:BT25"/>
    <mergeCell ref="BS26:BT26"/>
    <mergeCell ref="BS27:BT27"/>
    <mergeCell ref="BS69:BT69"/>
    <mergeCell ref="BS70:BT70"/>
    <mergeCell ref="BS71:BT71"/>
    <mergeCell ref="BS72:BT72"/>
    <mergeCell ref="BS74:BT74"/>
    <mergeCell ref="BS73:BT73"/>
    <mergeCell ref="BS39:BT39"/>
    <mergeCell ref="BS40:BT40"/>
    <mergeCell ref="BS41:BT41"/>
    <mergeCell ref="BS43:BT43"/>
    <mergeCell ref="BS44:BT44"/>
    <mergeCell ref="BS45:BT45"/>
    <mergeCell ref="BS46:BT46"/>
    <mergeCell ref="BS47:BT47"/>
    <mergeCell ref="BS48:BT48"/>
    <mergeCell ref="BS49:BT49"/>
    <mergeCell ref="BS50:BT50"/>
    <mergeCell ref="BS51:BT51"/>
    <mergeCell ref="BS52:BT52"/>
    <mergeCell ref="BS53:BT53"/>
    <mergeCell ref="BS54:BT54"/>
    <mergeCell ref="BS28:BT28"/>
    <mergeCell ref="BS29:BT29"/>
    <mergeCell ref="BS31:BT31"/>
    <mergeCell ref="BS32:BT32"/>
    <mergeCell ref="BS33:BT33"/>
    <mergeCell ref="BS34:BT34"/>
    <mergeCell ref="BS35:BT35"/>
    <mergeCell ref="BS36:BT36"/>
    <mergeCell ref="BS57:BT57"/>
    <mergeCell ref="J15:K15"/>
    <mergeCell ref="J13:K13"/>
    <mergeCell ref="J14:K14"/>
    <mergeCell ref="AQ76:AR76"/>
    <mergeCell ref="AT76:AU76"/>
    <mergeCell ref="J76:K76"/>
    <mergeCell ref="M76:N76"/>
    <mergeCell ref="P22:Q22"/>
    <mergeCell ref="S22:T22"/>
    <mergeCell ref="J22:K22"/>
    <mergeCell ref="J24:K24"/>
    <mergeCell ref="M24:N24"/>
    <mergeCell ref="P24:Q24"/>
    <mergeCell ref="M23:N23"/>
    <mergeCell ref="M14:N14"/>
    <mergeCell ref="AT17:AU17"/>
    <mergeCell ref="BM20:BN20"/>
    <mergeCell ref="BJ21:BK21"/>
    <mergeCell ref="J21:K21"/>
    <mergeCell ref="BD17:BE17"/>
    <mergeCell ref="AN21:AO21"/>
    <mergeCell ref="AQ21:AR21"/>
    <mergeCell ref="BS13:BT13"/>
    <mergeCell ref="AQ25:AR25"/>
    <mergeCell ref="J26:K26"/>
    <mergeCell ref="M26:N26"/>
    <mergeCell ref="D26:E26"/>
    <mergeCell ref="AQ105:AR105"/>
    <mergeCell ref="S34:T34"/>
    <mergeCell ref="D97:E97"/>
    <mergeCell ref="J16:K16"/>
    <mergeCell ref="J105:K105"/>
    <mergeCell ref="M105:N105"/>
    <mergeCell ref="D105:E105"/>
    <mergeCell ref="G105:H105"/>
    <mergeCell ref="P105:Q105"/>
    <mergeCell ref="S105:T105"/>
    <mergeCell ref="AN105:AO105"/>
    <mergeCell ref="P76:Q76"/>
    <mergeCell ref="S76:T76"/>
    <mergeCell ref="J74:K74"/>
    <mergeCell ref="M74:N74"/>
    <mergeCell ref="D74:E74"/>
    <mergeCell ref="G74:H74"/>
    <mergeCell ref="P74:Q74"/>
    <mergeCell ref="S74:T74"/>
    <mergeCell ref="AN74:AO74"/>
    <mergeCell ref="J42:K42"/>
    <mergeCell ref="M22:N22"/>
    <mergeCell ref="D22:E22"/>
    <mergeCell ref="S46:T46"/>
    <mergeCell ref="S38:T38"/>
    <mergeCell ref="S31:T31"/>
    <mergeCell ref="S29:T29"/>
    <mergeCell ref="S24:T24"/>
    <mergeCell ref="BY79:BZ79"/>
    <mergeCell ref="BJ32:BK32"/>
    <mergeCell ref="J33:K33"/>
    <mergeCell ref="M33:N33"/>
    <mergeCell ref="D33:E33"/>
    <mergeCell ref="G33:H33"/>
    <mergeCell ref="P33:Q33"/>
    <mergeCell ref="S33:T33"/>
    <mergeCell ref="BJ34:BK34"/>
    <mergeCell ref="BA33:BB33"/>
    <mergeCell ref="BM32:BN32"/>
    <mergeCell ref="BP32:BQ32"/>
    <mergeCell ref="BY32:BZ32"/>
    <mergeCell ref="AQ74:AR74"/>
    <mergeCell ref="D49:E49"/>
    <mergeCell ref="G49:H49"/>
    <mergeCell ref="P49:Q49"/>
    <mergeCell ref="S49:T49"/>
    <mergeCell ref="J53:K53"/>
    <mergeCell ref="M53:N53"/>
    <mergeCell ref="D53:E53"/>
    <mergeCell ref="G53:H53"/>
    <mergeCell ref="P53:Q53"/>
    <mergeCell ref="S53:T53"/>
    <mergeCell ref="J58:K58"/>
    <mergeCell ref="M58:N58"/>
    <mergeCell ref="D58:E58"/>
    <mergeCell ref="G58:H58"/>
    <mergeCell ref="BY35:BZ35"/>
    <mergeCell ref="D76:E76"/>
    <mergeCell ref="G76:H76"/>
    <mergeCell ref="BS55:BT55"/>
    <mergeCell ref="AH25:AI25"/>
    <mergeCell ref="AN22:AO22"/>
    <mergeCell ref="AQ22:AR22"/>
    <mergeCell ref="BJ23:BK23"/>
    <mergeCell ref="AH22:AI22"/>
    <mergeCell ref="BD25:BE25"/>
    <mergeCell ref="BM22:BN22"/>
    <mergeCell ref="P26:Q26"/>
    <mergeCell ref="S26:T26"/>
    <mergeCell ref="J35:K35"/>
    <mergeCell ref="M35:N35"/>
    <mergeCell ref="D35:E35"/>
    <mergeCell ref="G35:H35"/>
    <mergeCell ref="P35:Q35"/>
    <mergeCell ref="S35:T35"/>
    <mergeCell ref="AQ34:AR34"/>
    <mergeCell ref="M42:N42"/>
    <mergeCell ref="D42:E42"/>
    <mergeCell ref="G42:H42"/>
    <mergeCell ref="P42:Q42"/>
    <mergeCell ref="J41:K41"/>
    <mergeCell ref="AB26:AC26"/>
    <mergeCell ref="J31:K31"/>
    <mergeCell ref="M31:N31"/>
    <mergeCell ref="D31:E31"/>
    <mergeCell ref="G31:H31"/>
    <mergeCell ref="P31:Q31"/>
    <mergeCell ref="AN34:AO34"/>
    <mergeCell ref="J39:K39"/>
    <mergeCell ref="M39:N39"/>
    <mergeCell ref="S25:T25"/>
    <mergeCell ref="AN25:AO25"/>
    <mergeCell ref="D12:E12"/>
    <mergeCell ref="G12:H12"/>
    <mergeCell ref="P12:Q12"/>
    <mergeCell ref="S12:T12"/>
    <mergeCell ref="BJ13:BK13"/>
    <mergeCell ref="BM13:BN13"/>
    <mergeCell ref="J23:K23"/>
    <mergeCell ref="B138:B139"/>
    <mergeCell ref="Z138:Z139"/>
    <mergeCell ref="AY138:AY139"/>
    <mergeCell ref="BV141:BW141"/>
    <mergeCell ref="J136:K136"/>
    <mergeCell ref="M136:N136"/>
    <mergeCell ref="D136:E136"/>
    <mergeCell ref="G136:H136"/>
    <mergeCell ref="P136:Q136"/>
    <mergeCell ref="S136:T136"/>
    <mergeCell ref="AN136:AO136"/>
    <mergeCell ref="AQ136:AR136"/>
    <mergeCell ref="AT136:AU136"/>
    <mergeCell ref="AB136:AC136"/>
    <mergeCell ref="AE136:AF136"/>
    <mergeCell ref="AH136:AI136"/>
    <mergeCell ref="AK136:AL136"/>
    <mergeCell ref="BD136:BE136"/>
    <mergeCell ref="BJ136:BK136"/>
    <mergeCell ref="J137:K137"/>
    <mergeCell ref="M137:N137"/>
    <mergeCell ref="D137:E137"/>
    <mergeCell ref="G137:H137"/>
    <mergeCell ref="P137:Q137"/>
    <mergeCell ref="AH137:AI137"/>
    <mergeCell ref="BM3:BN3"/>
    <mergeCell ref="BY3:BZ3"/>
    <mergeCell ref="J4:K4"/>
    <mergeCell ref="M4:N4"/>
    <mergeCell ref="D4:E4"/>
    <mergeCell ref="G4:H4"/>
    <mergeCell ref="P4:Q4"/>
    <mergeCell ref="S4:T4"/>
    <mergeCell ref="B1:U1"/>
    <mergeCell ref="Z1:AV1"/>
    <mergeCell ref="G3:H3"/>
    <mergeCell ref="P3:Q3"/>
    <mergeCell ref="S3:T3"/>
    <mergeCell ref="BJ3:BK3"/>
    <mergeCell ref="BD3:BE3"/>
    <mergeCell ref="BV4:BW4"/>
    <mergeCell ref="AK4:AL4"/>
    <mergeCell ref="BG3:BH3"/>
    <mergeCell ref="BS4:BT4"/>
    <mergeCell ref="BM4:BN4"/>
    <mergeCell ref="BP4:BQ4"/>
    <mergeCell ref="BY4:BZ4"/>
    <mergeCell ref="G5:H5"/>
    <mergeCell ref="P5:Q5"/>
    <mergeCell ref="S5:T5"/>
    <mergeCell ref="BJ5:BK5"/>
    <mergeCell ref="AB4:AC4"/>
    <mergeCell ref="AE4:AF4"/>
    <mergeCell ref="AH4:AI4"/>
    <mergeCell ref="BJ4:BK4"/>
    <mergeCell ref="AN4:AO4"/>
    <mergeCell ref="AQ4:AR4"/>
    <mergeCell ref="AT4:AU4"/>
    <mergeCell ref="BD4:BE4"/>
    <mergeCell ref="BA4:BB4"/>
    <mergeCell ref="AN137:AO137"/>
    <mergeCell ref="BG5:BH5"/>
    <mergeCell ref="BP136:BQ136"/>
    <mergeCell ref="BY136:BZ136"/>
    <mergeCell ref="J12:K12"/>
    <mergeCell ref="M12:N12"/>
    <mergeCell ref="S137:T137"/>
    <mergeCell ref="BY23:BZ23"/>
    <mergeCell ref="AB23:AC23"/>
    <mergeCell ref="AE23:AF23"/>
    <mergeCell ref="AN23:AO23"/>
    <mergeCell ref="AQ23:AR23"/>
    <mergeCell ref="BY25:BZ25"/>
    <mergeCell ref="AT25:AU25"/>
    <mergeCell ref="AB25:AC25"/>
    <mergeCell ref="AE25:AF25"/>
    <mergeCell ref="BY13:BZ13"/>
    <mergeCell ref="BD5:BE5"/>
    <mergeCell ref="BY14:BZ14"/>
    <mergeCell ref="BM12:BN12"/>
    <mergeCell ref="BP12:BQ12"/>
    <mergeCell ref="BY12:BZ12"/>
    <mergeCell ref="AB12:AC12"/>
    <mergeCell ref="AH12:AI12"/>
    <mergeCell ref="BJ12:BK12"/>
    <mergeCell ref="AN12:AO12"/>
    <mergeCell ref="AQ12:AR12"/>
    <mergeCell ref="AT12:AU12"/>
    <mergeCell ref="AB14:AC14"/>
    <mergeCell ref="AE13:AF13"/>
    <mergeCell ref="AH14:AI14"/>
    <mergeCell ref="BJ14:BK14"/>
    <mergeCell ref="AN14:AO14"/>
    <mergeCell ref="AQ14:AR14"/>
    <mergeCell ref="AT14:AU14"/>
    <mergeCell ref="BD12:BE12"/>
    <mergeCell ref="BA12:BB12"/>
    <mergeCell ref="BM5:BN5"/>
    <mergeCell ref="BY5:BZ5"/>
    <mergeCell ref="BS12:BT12"/>
    <mergeCell ref="BS14:BT14"/>
    <mergeCell ref="BG6:BH6"/>
    <mergeCell ref="BJ6:BK6"/>
    <mergeCell ref="BM6:BN6"/>
    <mergeCell ref="BP6:BQ6"/>
    <mergeCell ref="BS6:BT6"/>
    <mergeCell ref="BJ10:BK10"/>
    <mergeCell ref="BM10:BN10"/>
    <mergeCell ref="D14:E14"/>
    <mergeCell ref="G14:H14"/>
    <mergeCell ref="P14:Q14"/>
    <mergeCell ref="S14:T14"/>
    <mergeCell ref="BJ15:BK15"/>
    <mergeCell ref="BP13:BQ13"/>
    <mergeCell ref="M13:N13"/>
    <mergeCell ref="D13:E13"/>
    <mergeCell ref="G13:H13"/>
    <mergeCell ref="P13:Q13"/>
    <mergeCell ref="BM15:BN15"/>
    <mergeCell ref="BP15:BQ15"/>
    <mergeCell ref="AT13:AU13"/>
    <mergeCell ref="AB13:AC13"/>
    <mergeCell ref="AH13:AI13"/>
    <mergeCell ref="S13:T13"/>
    <mergeCell ref="AN13:AO13"/>
    <mergeCell ref="AQ13:AR13"/>
    <mergeCell ref="BM14:BN14"/>
    <mergeCell ref="BP14:BQ14"/>
    <mergeCell ref="BD13:BE13"/>
    <mergeCell ref="BD14:BE14"/>
    <mergeCell ref="BD15:BE15"/>
    <mergeCell ref="BY15:BZ15"/>
    <mergeCell ref="AT15:AU15"/>
    <mergeCell ref="AB15:AC15"/>
    <mergeCell ref="AH15:AI15"/>
    <mergeCell ref="S15:T15"/>
    <mergeCell ref="AN15:AO15"/>
    <mergeCell ref="AQ15:AR15"/>
    <mergeCell ref="M15:N15"/>
    <mergeCell ref="D15:E15"/>
    <mergeCell ref="G15:H15"/>
    <mergeCell ref="P15:Q15"/>
    <mergeCell ref="AN16:AO16"/>
    <mergeCell ref="AQ16:AR16"/>
    <mergeCell ref="AT16:AU16"/>
    <mergeCell ref="M16:N16"/>
    <mergeCell ref="D16:E16"/>
    <mergeCell ref="G16:H16"/>
    <mergeCell ref="P16:Q16"/>
    <mergeCell ref="S16:T16"/>
    <mergeCell ref="BM16:BN16"/>
    <mergeCell ref="BP16:BQ16"/>
    <mergeCell ref="BY16:BZ16"/>
    <mergeCell ref="AB16:AC16"/>
    <mergeCell ref="AE15:AF15"/>
    <mergeCell ref="AH16:AI16"/>
    <mergeCell ref="BJ16:BK16"/>
    <mergeCell ref="BD16:BE16"/>
    <mergeCell ref="BS15:BT15"/>
    <mergeCell ref="BS16:BT16"/>
    <mergeCell ref="D17:E17"/>
    <mergeCell ref="G17:H17"/>
    <mergeCell ref="P17:Q17"/>
    <mergeCell ref="J19:K19"/>
    <mergeCell ref="M19:N19"/>
    <mergeCell ref="D19:E19"/>
    <mergeCell ref="G19:H19"/>
    <mergeCell ref="P19:Q19"/>
    <mergeCell ref="S19:T19"/>
    <mergeCell ref="J18:K18"/>
    <mergeCell ref="M18:N18"/>
    <mergeCell ref="D18:E18"/>
    <mergeCell ref="G18:H18"/>
    <mergeCell ref="P18:Q18"/>
    <mergeCell ref="AB17:AC17"/>
    <mergeCell ref="AQ17:AR17"/>
    <mergeCell ref="J17:K17"/>
    <mergeCell ref="S17:T17"/>
    <mergeCell ref="AN17:AO17"/>
    <mergeCell ref="AH19:AI19"/>
    <mergeCell ref="AH18:AI18"/>
    <mergeCell ref="M17:N17"/>
    <mergeCell ref="AE18:AF18"/>
    <mergeCell ref="S18:T18"/>
    <mergeCell ref="AN18:AO18"/>
    <mergeCell ref="AQ18:AR18"/>
    <mergeCell ref="BY20:BZ20"/>
    <mergeCell ref="AT20:AU20"/>
    <mergeCell ref="AB20:AC20"/>
    <mergeCell ref="AE20:AF20"/>
    <mergeCell ref="S20:T20"/>
    <mergeCell ref="AN20:AO20"/>
    <mergeCell ref="AQ20:AR20"/>
    <mergeCell ref="BJ18:BK18"/>
    <mergeCell ref="AN19:AO19"/>
    <mergeCell ref="AQ19:AR19"/>
    <mergeCell ref="AT19:AU19"/>
    <mergeCell ref="BP20:BQ20"/>
    <mergeCell ref="BD18:BE18"/>
    <mergeCell ref="BD19:BE19"/>
    <mergeCell ref="BD20:BE20"/>
    <mergeCell ref="BD24:BE24"/>
    <mergeCell ref="BD22:BE22"/>
    <mergeCell ref="AT21:AU21"/>
    <mergeCell ref="J20:K20"/>
    <mergeCell ref="M20:N20"/>
    <mergeCell ref="D20:E20"/>
    <mergeCell ref="G20:H20"/>
    <mergeCell ref="P20:Q20"/>
    <mergeCell ref="AH20:AI20"/>
    <mergeCell ref="BM17:BN17"/>
    <mergeCell ref="BY17:BZ17"/>
    <mergeCell ref="BP17:BQ17"/>
    <mergeCell ref="AH17:AI17"/>
    <mergeCell ref="BM18:BN18"/>
    <mergeCell ref="BP18:BQ18"/>
    <mergeCell ref="BJ17:BK17"/>
    <mergeCell ref="BY21:BZ21"/>
    <mergeCell ref="BM19:BN19"/>
    <mergeCell ref="BP19:BQ19"/>
    <mergeCell ref="BY19:BZ19"/>
    <mergeCell ref="AB19:AC19"/>
    <mergeCell ref="AE19:AF19"/>
    <mergeCell ref="BJ19:BK19"/>
    <mergeCell ref="AB21:AC21"/>
    <mergeCell ref="AE21:AF21"/>
    <mergeCell ref="BJ20:BK20"/>
    <mergeCell ref="M21:N21"/>
    <mergeCell ref="D21:E21"/>
    <mergeCell ref="G21:H21"/>
    <mergeCell ref="BY18:BZ18"/>
    <mergeCell ref="AT18:AU18"/>
    <mergeCell ref="AB18:AC18"/>
    <mergeCell ref="G27:H27"/>
    <mergeCell ref="P27:Q27"/>
    <mergeCell ref="BY26:BZ26"/>
    <mergeCell ref="G26:H26"/>
    <mergeCell ref="BD27:BE27"/>
    <mergeCell ref="AE26:AF26"/>
    <mergeCell ref="AH26:AI26"/>
    <mergeCell ref="P21:Q21"/>
    <mergeCell ref="S21:T21"/>
    <mergeCell ref="BD21:BE21"/>
    <mergeCell ref="BD23:BE23"/>
    <mergeCell ref="AB22:AC22"/>
    <mergeCell ref="AT22:AU22"/>
    <mergeCell ref="AE22:AF22"/>
    <mergeCell ref="BY24:BZ24"/>
    <mergeCell ref="AB24:AC24"/>
    <mergeCell ref="AE24:AF24"/>
    <mergeCell ref="AH24:AI24"/>
    <mergeCell ref="BJ24:BK24"/>
    <mergeCell ref="AN24:AO24"/>
    <mergeCell ref="AQ24:AR24"/>
    <mergeCell ref="AT24:AU24"/>
    <mergeCell ref="P23:Q23"/>
    <mergeCell ref="BM21:BN21"/>
    <mergeCell ref="BP21:BQ21"/>
    <mergeCell ref="BM23:BN23"/>
    <mergeCell ref="BP23:BQ23"/>
    <mergeCell ref="AT23:AU23"/>
    <mergeCell ref="BM24:BN24"/>
    <mergeCell ref="BP24:BQ24"/>
    <mergeCell ref="AH23:AI23"/>
    <mergeCell ref="AH21:AI21"/>
    <mergeCell ref="BJ26:BK26"/>
    <mergeCell ref="AN26:AO26"/>
    <mergeCell ref="AQ26:AR26"/>
    <mergeCell ref="AT26:AU26"/>
    <mergeCell ref="BJ25:BK25"/>
    <mergeCell ref="BM25:BN25"/>
    <mergeCell ref="BM28:BN28"/>
    <mergeCell ref="BP28:BQ28"/>
    <mergeCell ref="BY28:BZ28"/>
    <mergeCell ref="BD26:BE26"/>
    <mergeCell ref="BJ27:BK27"/>
    <mergeCell ref="BP25:BQ25"/>
    <mergeCell ref="J25:K25"/>
    <mergeCell ref="M25:N25"/>
    <mergeCell ref="D25:E25"/>
    <mergeCell ref="G25:H25"/>
    <mergeCell ref="P25:Q25"/>
    <mergeCell ref="BM27:BN27"/>
    <mergeCell ref="BP27:BQ27"/>
    <mergeCell ref="BM26:BN26"/>
    <mergeCell ref="BP26:BQ26"/>
    <mergeCell ref="BY27:BZ27"/>
    <mergeCell ref="AT27:AU27"/>
    <mergeCell ref="AB27:AC27"/>
    <mergeCell ref="AE27:AF27"/>
    <mergeCell ref="AH27:AI27"/>
    <mergeCell ref="S27:T27"/>
    <mergeCell ref="AN27:AO27"/>
    <mergeCell ref="AQ27:AR27"/>
    <mergeCell ref="J27:K27"/>
    <mergeCell ref="M27:N27"/>
    <mergeCell ref="D27:E27"/>
    <mergeCell ref="J29:K29"/>
    <mergeCell ref="M29:N29"/>
    <mergeCell ref="D29:E29"/>
    <mergeCell ref="G29:H29"/>
    <mergeCell ref="P29:Q29"/>
    <mergeCell ref="AB28:AC28"/>
    <mergeCell ref="AE28:AF28"/>
    <mergeCell ref="AH28:AI28"/>
    <mergeCell ref="BJ28:BK28"/>
    <mergeCell ref="AN28:AO28"/>
    <mergeCell ref="AQ28:AR28"/>
    <mergeCell ref="AT28:AU28"/>
    <mergeCell ref="J28:K28"/>
    <mergeCell ref="M28:N28"/>
    <mergeCell ref="D28:E28"/>
    <mergeCell ref="G28:H28"/>
    <mergeCell ref="P28:Q28"/>
    <mergeCell ref="S28:T28"/>
    <mergeCell ref="BJ29:BK29"/>
    <mergeCell ref="BD28:BE28"/>
    <mergeCell ref="BM29:BN29"/>
    <mergeCell ref="BP29:BQ29"/>
    <mergeCell ref="BY29:BZ29"/>
    <mergeCell ref="AT29:AU29"/>
    <mergeCell ref="AB29:AC29"/>
    <mergeCell ref="AE29:AF29"/>
    <mergeCell ref="AH29:AI29"/>
    <mergeCell ref="AN29:AO29"/>
    <mergeCell ref="AQ29:AR29"/>
    <mergeCell ref="BM31:BN31"/>
    <mergeCell ref="BP31:BQ31"/>
    <mergeCell ref="BY31:BZ31"/>
    <mergeCell ref="BD29:BE29"/>
    <mergeCell ref="AB31:AC31"/>
    <mergeCell ref="AE31:AF31"/>
    <mergeCell ref="AH31:AI31"/>
    <mergeCell ref="BJ31:BK31"/>
    <mergeCell ref="AN31:AO31"/>
    <mergeCell ref="AQ31:AR31"/>
    <mergeCell ref="AT31:AU31"/>
    <mergeCell ref="BD31:BE31"/>
    <mergeCell ref="AK31:AL31"/>
    <mergeCell ref="BA31:BB31"/>
    <mergeCell ref="BM33:BN33"/>
    <mergeCell ref="BP33:BQ33"/>
    <mergeCell ref="BY33:BZ33"/>
    <mergeCell ref="AB33:AC33"/>
    <mergeCell ref="AE33:AF33"/>
    <mergeCell ref="AH33:AI33"/>
    <mergeCell ref="BJ33:BK33"/>
    <mergeCell ref="AN33:AO33"/>
    <mergeCell ref="AQ33:AR33"/>
    <mergeCell ref="AT33:AU33"/>
    <mergeCell ref="AB35:AC35"/>
    <mergeCell ref="AE35:AF35"/>
    <mergeCell ref="AH35:AI35"/>
    <mergeCell ref="G34:H34"/>
    <mergeCell ref="P34:Q34"/>
    <mergeCell ref="BM35:BN35"/>
    <mergeCell ref="BP35:BQ35"/>
    <mergeCell ref="BY34:BZ34"/>
    <mergeCell ref="BJ35:BK35"/>
    <mergeCell ref="AQ35:AR35"/>
    <mergeCell ref="AT35:AU35"/>
    <mergeCell ref="AT34:AU34"/>
    <mergeCell ref="AB34:AC34"/>
    <mergeCell ref="AE34:AF34"/>
    <mergeCell ref="AT32:AU32"/>
    <mergeCell ref="AB32:AC32"/>
    <mergeCell ref="AE32:AF32"/>
    <mergeCell ref="AH32:AI32"/>
    <mergeCell ref="S32:T32"/>
    <mergeCell ref="AN32:AO32"/>
    <mergeCell ref="AQ32:AR32"/>
    <mergeCell ref="BD32:BE32"/>
    <mergeCell ref="J32:K32"/>
    <mergeCell ref="M32:N32"/>
    <mergeCell ref="D32:E32"/>
    <mergeCell ref="G32:H32"/>
    <mergeCell ref="P32:Q32"/>
    <mergeCell ref="BA32:BB32"/>
    <mergeCell ref="J37:K37"/>
    <mergeCell ref="M37:N37"/>
    <mergeCell ref="D37:E37"/>
    <mergeCell ref="G37:H37"/>
    <mergeCell ref="P37:Q37"/>
    <mergeCell ref="S37:T37"/>
    <mergeCell ref="J36:K36"/>
    <mergeCell ref="M36:N36"/>
    <mergeCell ref="D36:E36"/>
    <mergeCell ref="G36:H36"/>
    <mergeCell ref="P36:Q36"/>
    <mergeCell ref="BD34:BE34"/>
    <mergeCell ref="BD35:BE35"/>
    <mergeCell ref="AK34:AL34"/>
    <mergeCell ref="AK35:AL35"/>
    <mergeCell ref="BD33:BE33"/>
    <mergeCell ref="AN35:AO35"/>
    <mergeCell ref="J34:K34"/>
    <mergeCell ref="M34:N34"/>
    <mergeCell ref="D34:E34"/>
    <mergeCell ref="BM36:BN36"/>
    <mergeCell ref="BP36:BQ36"/>
    <mergeCell ref="BA34:BB34"/>
    <mergeCell ref="BA35:BB35"/>
    <mergeCell ref="AH34:AI34"/>
    <mergeCell ref="BM34:BN34"/>
    <mergeCell ref="BP34:BQ34"/>
    <mergeCell ref="BY36:BZ36"/>
    <mergeCell ref="AT36:AU36"/>
    <mergeCell ref="AB36:AC36"/>
    <mergeCell ref="AE36:AF36"/>
    <mergeCell ref="AH36:AI36"/>
    <mergeCell ref="S36:T36"/>
    <mergeCell ref="AN36:AO36"/>
    <mergeCell ref="AQ36:AR36"/>
    <mergeCell ref="BD36:BE36"/>
    <mergeCell ref="AK36:AL36"/>
    <mergeCell ref="BA36:BB36"/>
    <mergeCell ref="BJ36:BK36"/>
    <mergeCell ref="BS38:BT38"/>
    <mergeCell ref="BS37:BT37"/>
    <mergeCell ref="BY39:BZ39"/>
    <mergeCell ref="BM37:BN37"/>
    <mergeCell ref="BP37:BQ37"/>
    <mergeCell ref="BY37:BZ37"/>
    <mergeCell ref="AB37:AC37"/>
    <mergeCell ref="AE37:AF37"/>
    <mergeCell ref="AH37:AI37"/>
    <mergeCell ref="BJ37:BK37"/>
    <mergeCell ref="AN37:AO37"/>
    <mergeCell ref="AQ37:AR37"/>
    <mergeCell ref="AT37:AU37"/>
    <mergeCell ref="AB39:AC39"/>
    <mergeCell ref="AE39:AF39"/>
    <mergeCell ref="BD37:BE37"/>
    <mergeCell ref="AK37:AL37"/>
    <mergeCell ref="BJ38:BK38"/>
    <mergeCell ref="BM38:BN38"/>
    <mergeCell ref="BG37:BH37"/>
    <mergeCell ref="BA37:BB37"/>
    <mergeCell ref="AH41:AI41"/>
    <mergeCell ref="BJ41:BK41"/>
    <mergeCell ref="AN41:AO41"/>
    <mergeCell ref="AQ41:AR41"/>
    <mergeCell ref="BJ40:BK40"/>
    <mergeCell ref="BY38:BZ38"/>
    <mergeCell ref="AT38:AU38"/>
    <mergeCell ref="AB38:AC38"/>
    <mergeCell ref="AE38:AF38"/>
    <mergeCell ref="AH38:AI38"/>
    <mergeCell ref="AN38:AO38"/>
    <mergeCell ref="AQ38:AR38"/>
    <mergeCell ref="BP38:BQ38"/>
    <mergeCell ref="J38:K38"/>
    <mergeCell ref="M38:N38"/>
    <mergeCell ref="D38:E38"/>
    <mergeCell ref="G38:H38"/>
    <mergeCell ref="P38:Q38"/>
    <mergeCell ref="BM40:BN40"/>
    <mergeCell ref="BP40:BQ40"/>
    <mergeCell ref="BD38:BE38"/>
    <mergeCell ref="BD39:BE39"/>
    <mergeCell ref="AK38:AL38"/>
    <mergeCell ref="AK39:AL39"/>
    <mergeCell ref="BM39:BN39"/>
    <mergeCell ref="BP39:BQ39"/>
    <mergeCell ref="BG38:BH38"/>
    <mergeCell ref="BG39:BH39"/>
    <mergeCell ref="BA38:BB38"/>
    <mergeCell ref="BA39:BB39"/>
    <mergeCell ref="D39:E39"/>
    <mergeCell ref="G39:H39"/>
    <mergeCell ref="P39:Q39"/>
    <mergeCell ref="S39:T39"/>
    <mergeCell ref="D40:E40"/>
    <mergeCell ref="G40:H40"/>
    <mergeCell ref="AH39:AI39"/>
    <mergeCell ref="BJ39:BK39"/>
    <mergeCell ref="AN39:AO39"/>
    <mergeCell ref="AQ39:AR39"/>
    <mergeCell ref="AT39:AU39"/>
    <mergeCell ref="BY40:BZ40"/>
    <mergeCell ref="AT40:AU40"/>
    <mergeCell ref="AB40:AC40"/>
    <mergeCell ref="AE40:AF40"/>
    <mergeCell ref="AH40:AI40"/>
    <mergeCell ref="S40:T40"/>
    <mergeCell ref="AN40:AO40"/>
    <mergeCell ref="AQ40:AR40"/>
    <mergeCell ref="J40:K40"/>
    <mergeCell ref="M40:N40"/>
    <mergeCell ref="P40:Q40"/>
    <mergeCell ref="BM41:BN41"/>
    <mergeCell ref="BP41:BQ41"/>
    <mergeCell ref="BY41:BZ41"/>
    <mergeCell ref="BD40:BE40"/>
    <mergeCell ref="AK40:AL40"/>
    <mergeCell ref="BG40:BH40"/>
    <mergeCell ref="BG41:BH41"/>
    <mergeCell ref="BA40:BB40"/>
    <mergeCell ref="AB41:AC41"/>
    <mergeCell ref="AE41:AF41"/>
    <mergeCell ref="BP42:BQ42"/>
    <mergeCell ref="BY42:BZ42"/>
    <mergeCell ref="AT42:AU42"/>
    <mergeCell ref="AB42:AC42"/>
    <mergeCell ref="BJ44:BK44"/>
    <mergeCell ref="J44:K44"/>
    <mergeCell ref="J43:K43"/>
    <mergeCell ref="M43:N43"/>
    <mergeCell ref="D43:E43"/>
    <mergeCell ref="G43:H43"/>
    <mergeCell ref="P43:Q43"/>
    <mergeCell ref="S43:T43"/>
    <mergeCell ref="BM44:BN44"/>
    <mergeCell ref="BP44:BQ44"/>
    <mergeCell ref="BY44:BZ44"/>
    <mergeCell ref="AB44:AC44"/>
    <mergeCell ref="AE44:AF44"/>
    <mergeCell ref="AH44:AI44"/>
    <mergeCell ref="S44:T44"/>
    <mergeCell ref="BP43:BQ43"/>
    <mergeCell ref="BY43:BZ43"/>
    <mergeCell ref="AB43:AC43"/>
    <mergeCell ref="AE43:AF43"/>
    <mergeCell ref="AH43:AI43"/>
    <mergeCell ref="BJ43:BK43"/>
    <mergeCell ref="AN43:AO43"/>
    <mergeCell ref="AQ43:AR43"/>
    <mergeCell ref="AT43:AU43"/>
    <mergeCell ref="BD42:BE42"/>
    <mergeCell ref="AK42:AL42"/>
    <mergeCell ref="BG42:BH42"/>
    <mergeCell ref="BA42:BB42"/>
    <mergeCell ref="BD43:BE43"/>
    <mergeCell ref="BD44:BE44"/>
    <mergeCell ref="BD45:BE45"/>
    <mergeCell ref="AK43:AL43"/>
    <mergeCell ref="AK44:AL44"/>
    <mergeCell ref="AK45:AL45"/>
    <mergeCell ref="BG43:BH43"/>
    <mergeCell ref="BG44:BH44"/>
    <mergeCell ref="BG45:BH45"/>
    <mergeCell ref="BA43:BB43"/>
    <mergeCell ref="BA44:BB44"/>
    <mergeCell ref="BA45:BB45"/>
    <mergeCell ref="BM43:BN43"/>
    <mergeCell ref="AT44:AU44"/>
    <mergeCell ref="AN44:AO44"/>
    <mergeCell ref="AQ44:AR44"/>
    <mergeCell ref="D41:E41"/>
    <mergeCell ref="G41:H41"/>
    <mergeCell ref="P41:Q41"/>
    <mergeCell ref="S41:T41"/>
    <mergeCell ref="BJ42:BK42"/>
    <mergeCell ref="BD41:BE41"/>
    <mergeCell ref="AK41:AL41"/>
    <mergeCell ref="BA41:BB41"/>
    <mergeCell ref="BM42:BN42"/>
    <mergeCell ref="AT41:AU41"/>
    <mergeCell ref="M41:N41"/>
    <mergeCell ref="AE42:AF42"/>
    <mergeCell ref="AH42:AI42"/>
    <mergeCell ref="S42:T42"/>
    <mergeCell ref="AN42:AO42"/>
    <mergeCell ref="AQ42:AR42"/>
    <mergeCell ref="D44:E44"/>
    <mergeCell ref="G44:H44"/>
    <mergeCell ref="P44:Q44"/>
    <mergeCell ref="J46:K46"/>
    <mergeCell ref="BM45:BN45"/>
    <mergeCell ref="BP45:BQ45"/>
    <mergeCell ref="BY45:BZ45"/>
    <mergeCell ref="M46:N46"/>
    <mergeCell ref="D46:E46"/>
    <mergeCell ref="G46:H46"/>
    <mergeCell ref="P46:Q46"/>
    <mergeCell ref="AB45:AC45"/>
    <mergeCell ref="AE45:AF45"/>
    <mergeCell ref="AH45:AI45"/>
    <mergeCell ref="BJ45:BK45"/>
    <mergeCell ref="AN45:AO45"/>
    <mergeCell ref="AQ45:AR45"/>
    <mergeCell ref="M45:N45"/>
    <mergeCell ref="D45:E45"/>
    <mergeCell ref="BJ46:BK46"/>
    <mergeCell ref="BM46:BN46"/>
    <mergeCell ref="BP46:BQ46"/>
    <mergeCell ref="BY46:BZ46"/>
    <mergeCell ref="AT46:AU46"/>
    <mergeCell ref="AB46:AC46"/>
    <mergeCell ref="AE46:AF46"/>
    <mergeCell ref="AH46:AI46"/>
    <mergeCell ref="AT45:AU45"/>
    <mergeCell ref="J45:K45"/>
    <mergeCell ref="G45:H45"/>
    <mergeCell ref="P45:Q45"/>
    <mergeCell ref="S45:T45"/>
    <mergeCell ref="AN46:AO46"/>
    <mergeCell ref="AQ46:AR46"/>
    <mergeCell ref="BM47:BN47"/>
    <mergeCell ref="BP47:BQ47"/>
    <mergeCell ref="BY47:BZ47"/>
    <mergeCell ref="AB47:AC47"/>
    <mergeCell ref="AE47:AF47"/>
    <mergeCell ref="AH47:AI47"/>
    <mergeCell ref="BJ47:BK47"/>
    <mergeCell ref="AN47:AO47"/>
    <mergeCell ref="AQ47:AR47"/>
    <mergeCell ref="AT47:AU47"/>
    <mergeCell ref="BD46:BE46"/>
    <mergeCell ref="AK46:AL46"/>
    <mergeCell ref="BG46:BH46"/>
    <mergeCell ref="BA46:BB46"/>
    <mergeCell ref="M44:N44"/>
    <mergeCell ref="J47:K47"/>
    <mergeCell ref="M47:N47"/>
    <mergeCell ref="D47:E47"/>
    <mergeCell ref="G47:H47"/>
    <mergeCell ref="P47:Q47"/>
    <mergeCell ref="S47:T47"/>
    <mergeCell ref="BM48:BN48"/>
    <mergeCell ref="AQ49:AR49"/>
    <mergeCell ref="AT49:AU49"/>
    <mergeCell ref="BD47:BE47"/>
    <mergeCell ref="BD48:BE48"/>
    <mergeCell ref="BD49:BE49"/>
    <mergeCell ref="AK47:AL47"/>
    <mergeCell ref="AK48:AL48"/>
    <mergeCell ref="AK49:AL49"/>
    <mergeCell ref="BG47:BH47"/>
    <mergeCell ref="BG48:BH48"/>
    <mergeCell ref="BG49:BH49"/>
    <mergeCell ref="BA47:BB47"/>
    <mergeCell ref="BA48:BB48"/>
    <mergeCell ref="BA49:BB49"/>
    <mergeCell ref="BP48:BQ48"/>
    <mergeCell ref="BY48:BZ48"/>
    <mergeCell ref="AT48:AU48"/>
    <mergeCell ref="AB48:AC48"/>
    <mergeCell ref="AE48:AF48"/>
    <mergeCell ref="AH48:AI48"/>
    <mergeCell ref="S48:T48"/>
    <mergeCell ref="AN48:AO48"/>
    <mergeCell ref="AQ48:AR48"/>
    <mergeCell ref="M48:N48"/>
    <mergeCell ref="D48:E48"/>
    <mergeCell ref="G48:H48"/>
    <mergeCell ref="P48:Q48"/>
    <mergeCell ref="J50:K50"/>
    <mergeCell ref="BD50:BE50"/>
    <mergeCell ref="BM49:BN49"/>
    <mergeCell ref="BP49:BQ49"/>
    <mergeCell ref="BY49:BZ49"/>
    <mergeCell ref="M50:N50"/>
    <mergeCell ref="D50:E50"/>
    <mergeCell ref="G50:H50"/>
    <mergeCell ref="P50:Q50"/>
    <mergeCell ref="AB49:AC49"/>
    <mergeCell ref="AE49:AF49"/>
    <mergeCell ref="AH49:AI49"/>
    <mergeCell ref="BJ49:BK49"/>
    <mergeCell ref="AN49:AO49"/>
    <mergeCell ref="J49:K49"/>
    <mergeCell ref="M49:N49"/>
    <mergeCell ref="BJ48:BK48"/>
    <mergeCell ref="J48:K48"/>
    <mergeCell ref="BY50:BZ50"/>
    <mergeCell ref="AT50:AU50"/>
    <mergeCell ref="AB50:AC50"/>
    <mergeCell ref="AE50:AF50"/>
    <mergeCell ref="AH50:AI50"/>
    <mergeCell ref="AN50:AO50"/>
    <mergeCell ref="AQ50:AR50"/>
    <mergeCell ref="BM51:BN51"/>
    <mergeCell ref="BP51:BQ51"/>
    <mergeCell ref="BY51:BZ51"/>
    <mergeCell ref="AB51:AC51"/>
    <mergeCell ref="AE51:AF51"/>
    <mergeCell ref="AH51:AI51"/>
    <mergeCell ref="BJ51:BK51"/>
    <mergeCell ref="AN51:AO51"/>
    <mergeCell ref="AQ51:AR51"/>
    <mergeCell ref="AT51:AU51"/>
    <mergeCell ref="AK50:AL50"/>
    <mergeCell ref="BG50:BH50"/>
    <mergeCell ref="BG51:BH51"/>
    <mergeCell ref="BA50:BB50"/>
    <mergeCell ref="BV50:BW50"/>
    <mergeCell ref="BV51:BW51"/>
    <mergeCell ref="BD51:BE51"/>
    <mergeCell ref="BD53:BE53"/>
    <mergeCell ref="J51:K51"/>
    <mergeCell ref="M51:N51"/>
    <mergeCell ref="D51:E51"/>
    <mergeCell ref="G51:H51"/>
    <mergeCell ref="P51:Q51"/>
    <mergeCell ref="S51:T51"/>
    <mergeCell ref="AK51:AL51"/>
    <mergeCell ref="AK53:AL53"/>
    <mergeCell ref="BA53:BB53"/>
    <mergeCell ref="BM52:BN52"/>
    <mergeCell ref="BM53:BN53"/>
    <mergeCell ref="BA51:BB51"/>
    <mergeCell ref="BJ50:BK50"/>
    <mergeCell ref="BM50:BN50"/>
    <mergeCell ref="BP50:BQ50"/>
    <mergeCell ref="J54:K54"/>
    <mergeCell ref="BV53:BW53"/>
    <mergeCell ref="BV54:BW54"/>
    <mergeCell ref="BP52:BQ52"/>
    <mergeCell ref="BY52:BZ52"/>
    <mergeCell ref="AT52:AU52"/>
    <mergeCell ref="AB52:AC52"/>
    <mergeCell ref="AE52:AF52"/>
    <mergeCell ref="AH52:AI52"/>
    <mergeCell ref="S52:T52"/>
    <mergeCell ref="AN52:AO52"/>
    <mergeCell ref="AQ52:AR52"/>
    <mergeCell ref="BD52:BE52"/>
    <mergeCell ref="M52:N52"/>
    <mergeCell ref="D52:E52"/>
    <mergeCell ref="G52:H52"/>
    <mergeCell ref="P52:Q52"/>
    <mergeCell ref="AK52:AL52"/>
    <mergeCell ref="BA52:BB52"/>
    <mergeCell ref="BG52:BH52"/>
    <mergeCell ref="BJ52:BK52"/>
    <mergeCell ref="BV52:BW52"/>
    <mergeCell ref="J52:K52"/>
    <mergeCell ref="S55:T55"/>
    <mergeCell ref="BJ56:BK56"/>
    <mergeCell ref="BM56:BN56"/>
    <mergeCell ref="BP56:BQ56"/>
    <mergeCell ref="BY56:BZ56"/>
    <mergeCell ref="AT56:AU56"/>
    <mergeCell ref="BA55:BB55"/>
    <mergeCell ref="BP53:BQ53"/>
    <mergeCell ref="BY53:BZ53"/>
    <mergeCell ref="M54:N54"/>
    <mergeCell ref="D54:E54"/>
    <mergeCell ref="G54:H54"/>
    <mergeCell ref="P54:Q54"/>
    <mergeCell ref="AB53:AC53"/>
    <mergeCell ref="AE53:AF53"/>
    <mergeCell ref="AH53:AI53"/>
    <mergeCell ref="BJ53:BK53"/>
    <mergeCell ref="AN53:AO53"/>
    <mergeCell ref="AQ53:AR53"/>
    <mergeCell ref="AT53:AU53"/>
    <mergeCell ref="BJ54:BK54"/>
    <mergeCell ref="BM54:BN54"/>
    <mergeCell ref="BP54:BQ54"/>
    <mergeCell ref="BY54:BZ54"/>
    <mergeCell ref="AT54:AU54"/>
    <mergeCell ref="AB54:AC54"/>
    <mergeCell ref="AE54:AF54"/>
    <mergeCell ref="AH54:AI54"/>
    <mergeCell ref="S54:T54"/>
    <mergeCell ref="AN54:AO54"/>
    <mergeCell ref="AQ54:AR54"/>
    <mergeCell ref="BA54:BB54"/>
    <mergeCell ref="J57:K57"/>
    <mergeCell ref="M57:N57"/>
    <mergeCell ref="D57:E57"/>
    <mergeCell ref="G57:H57"/>
    <mergeCell ref="P57:Q57"/>
    <mergeCell ref="S57:T57"/>
    <mergeCell ref="S58:T58"/>
    <mergeCell ref="AN58:AO58"/>
    <mergeCell ref="AQ58:AR58"/>
    <mergeCell ref="AB58:AC58"/>
    <mergeCell ref="AE58:AF58"/>
    <mergeCell ref="AH58:AI58"/>
    <mergeCell ref="BM55:BN55"/>
    <mergeCell ref="BP55:BQ55"/>
    <mergeCell ref="BY55:BZ55"/>
    <mergeCell ref="J56:K56"/>
    <mergeCell ref="M56:N56"/>
    <mergeCell ref="D56:E56"/>
    <mergeCell ref="G56:H56"/>
    <mergeCell ref="P56:Q56"/>
    <mergeCell ref="AB55:AC55"/>
    <mergeCell ref="AE55:AF55"/>
    <mergeCell ref="AH55:AI55"/>
    <mergeCell ref="BJ55:BK55"/>
    <mergeCell ref="AN55:AO55"/>
    <mergeCell ref="AQ55:AR55"/>
    <mergeCell ref="AT55:AU55"/>
    <mergeCell ref="J55:K55"/>
    <mergeCell ref="M55:N55"/>
    <mergeCell ref="D55:E55"/>
    <mergeCell ref="G55:H55"/>
    <mergeCell ref="P55:Q55"/>
    <mergeCell ref="AB56:AC56"/>
    <mergeCell ref="AE56:AF56"/>
    <mergeCell ref="AH56:AI56"/>
    <mergeCell ref="AN56:AO56"/>
    <mergeCell ref="AQ56:AR56"/>
    <mergeCell ref="BM57:BN57"/>
    <mergeCell ref="BP57:BQ57"/>
    <mergeCell ref="BY57:BZ57"/>
    <mergeCell ref="BM58:BN58"/>
    <mergeCell ref="AB59:AC59"/>
    <mergeCell ref="AE59:AF59"/>
    <mergeCell ref="AH59:AI59"/>
    <mergeCell ref="BJ59:BK59"/>
    <mergeCell ref="BJ57:BK57"/>
    <mergeCell ref="AN59:AO59"/>
    <mergeCell ref="AQ59:AR59"/>
    <mergeCell ref="AT59:AU59"/>
    <mergeCell ref="BJ58:BK58"/>
    <mergeCell ref="BS59:BT59"/>
    <mergeCell ref="BP58:BQ58"/>
    <mergeCell ref="BY58:BZ58"/>
    <mergeCell ref="AT58:AU58"/>
    <mergeCell ref="BS56:BT56"/>
    <mergeCell ref="BS58:BT58"/>
    <mergeCell ref="BA56:BB56"/>
    <mergeCell ref="AB57:AC57"/>
    <mergeCell ref="AE57:AF57"/>
    <mergeCell ref="AH57:AI57"/>
    <mergeCell ref="AN57:AO57"/>
    <mergeCell ref="AQ57:AR57"/>
    <mergeCell ref="AT57:AU57"/>
    <mergeCell ref="J59:K59"/>
    <mergeCell ref="M59:N59"/>
    <mergeCell ref="D59:E59"/>
    <mergeCell ref="G59:H59"/>
    <mergeCell ref="P59:Q59"/>
    <mergeCell ref="S59:T59"/>
    <mergeCell ref="BJ60:BK60"/>
    <mergeCell ref="BD59:BE59"/>
    <mergeCell ref="BM60:BN60"/>
    <mergeCell ref="BP60:BQ60"/>
    <mergeCell ref="BY60:BZ60"/>
    <mergeCell ref="AT60:AU60"/>
    <mergeCell ref="AB60:AC60"/>
    <mergeCell ref="AE60:AF60"/>
    <mergeCell ref="AH60:AI60"/>
    <mergeCell ref="S60:T60"/>
    <mergeCell ref="AN60:AO60"/>
    <mergeCell ref="AQ60:AR60"/>
    <mergeCell ref="BD60:BE60"/>
    <mergeCell ref="J60:K60"/>
    <mergeCell ref="M60:N60"/>
    <mergeCell ref="D60:E60"/>
    <mergeCell ref="G60:H60"/>
    <mergeCell ref="P60:Q60"/>
    <mergeCell ref="BS60:BT60"/>
    <mergeCell ref="BM59:BN59"/>
    <mergeCell ref="BP59:BQ59"/>
    <mergeCell ref="BY59:BZ59"/>
    <mergeCell ref="BM62:BN62"/>
    <mergeCell ref="BP62:BQ62"/>
    <mergeCell ref="BY62:BZ62"/>
    <mergeCell ref="J63:K63"/>
    <mergeCell ref="M63:N63"/>
    <mergeCell ref="D63:E63"/>
    <mergeCell ref="G63:H63"/>
    <mergeCell ref="P63:Q63"/>
    <mergeCell ref="AB62:AC62"/>
    <mergeCell ref="AE62:AF62"/>
    <mergeCell ref="AH62:AI62"/>
    <mergeCell ref="BJ62:BK62"/>
    <mergeCell ref="AN62:AO62"/>
    <mergeCell ref="AQ62:AR62"/>
    <mergeCell ref="AT62:AU62"/>
    <mergeCell ref="J62:K62"/>
    <mergeCell ref="M62:N62"/>
    <mergeCell ref="D62:E62"/>
    <mergeCell ref="G62:H62"/>
    <mergeCell ref="P62:Q62"/>
    <mergeCell ref="S62:T62"/>
    <mergeCell ref="BD62:BE62"/>
    <mergeCell ref="BD63:BE63"/>
    <mergeCell ref="BG62:BH62"/>
    <mergeCell ref="BG63:BH63"/>
    <mergeCell ref="BS62:BT62"/>
    <mergeCell ref="BS63:BT63"/>
    <mergeCell ref="B64:B65"/>
    <mergeCell ref="J64:K64"/>
    <mergeCell ref="M64:N64"/>
    <mergeCell ref="D64:E64"/>
    <mergeCell ref="G64:H64"/>
    <mergeCell ref="P64:Q64"/>
    <mergeCell ref="BJ63:BK63"/>
    <mergeCell ref="BM63:BN63"/>
    <mergeCell ref="BP63:BQ63"/>
    <mergeCell ref="BY63:BZ63"/>
    <mergeCell ref="AT63:AU63"/>
    <mergeCell ref="AB63:AC63"/>
    <mergeCell ref="AE63:AF63"/>
    <mergeCell ref="AH63:AI63"/>
    <mergeCell ref="S63:T63"/>
    <mergeCell ref="AN63:AO63"/>
    <mergeCell ref="AQ63:AR63"/>
    <mergeCell ref="AH65:AI65"/>
    <mergeCell ref="BJ65:BK65"/>
    <mergeCell ref="AT64:AU64"/>
    <mergeCell ref="Z64:Z65"/>
    <mergeCell ref="AN64:AO64"/>
    <mergeCell ref="AQ64:AR64"/>
    <mergeCell ref="AN65:AO65"/>
    <mergeCell ref="BM65:BN65"/>
    <mergeCell ref="BP65:BQ65"/>
    <mergeCell ref="BS64:BT64"/>
    <mergeCell ref="BS65:BT65"/>
    <mergeCell ref="BY68:BZ68"/>
    <mergeCell ref="AT68:AU68"/>
    <mergeCell ref="AB68:AC68"/>
    <mergeCell ref="AK67:AL67"/>
    <mergeCell ref="AK68:AL68"/>
    <mergeCell ref="M67:N67"/>
    <mergeCell ref="BM64:BN64"/>
    <mergeCell ref="BP64:BQ64"/>
    <mergeCell ref="BY64:BZ64"/>
    <mergeCell ref="J65:K65"/>
    <mergeCell ref="M65:N65"/>
    <mergeCell ref="D65:E65"/>
    <mergeCell ref="G65:H65"/>
    <mergeCell ref="P65:Q65"/>
    <mergeCell ref="S65:T65"/>
    <mergeCell ref="AH64:AI64"/>
    <mergeCell ref="AY64:AY65"/>
    <mergeCell ref="BJ64:BK64"/>
    <mergeCell ref="BM66:BN66"/>
    <mergeCell ref="AB64:AC64"/>
    <mergeCell ref="AE64:AF64"/>
    <mergeCell ref="S64:T64"/>
    <mergeCell ref="BP66:BQ66"/>
    <mergeCell ref="BS66:BT66"/>
    <mergeCell ref="AB66:AC66"/>
    <mergeCell ref="AE66:AF66"/>
    <mergeCell ref="AH66:AI66"/>
    <mergeCell ref="BJ66:BK66"/>
    <mergeCell ref="BY65:BZ65"/>
    <mergeCell ref="J66:K66"/>
    <mergeCell ref="M66:N66"/>
    <mergeCell ref="D66:E66"/>
    <mergeCell ref="G66:H66"/>
    <mergeCell ref="P66:Q66"/>
    <mergeCell ref="S66:T66"/>
    <mergeCell ref="AT65:AU65"/>
    <mergeCell ref="AB65:AC65"/>
    <mergeCell ref="AE65:AF65"/>
    <mergeCell ref="BS67:BT67"/>
    <mergeCell ref="BM67:BN67"/>
    <mergeCell ref="BP67:BQ67"/>
    <mergeCell ref="BY67:BZ67"/>
    <mergeCell ref="AN66:AO66"/>
    <mergeCell ref="AQ66:AR66"/>
    <mergeCell ref="AT66:AU66"/>
    <mergeCell ref="BA66:BB66"/>
    <mergeCell ref="D67:E67"/>
    <mergeCell ref="G67:H67"/>
    <mergeCell ref="P67:Q67"/>
    <mergeCell ref="S67:T67"/>
    <mergeCell ref="BY66:BZ66"/>
    <mergeCell ref="J67:K67"/>
    <mergeCell ref="J68:K68"/>
    <mergeCell ref="M68:N68"/>
    <mergeCell ref="D68:E68"/>
    <mergeCell ref="G68:H68"/>
    <mergeCell ref="P68:Q68"/>
    <mergeCell ref="AB67:AC67"/>
    <mergeCell ref="AE67:AF67"/>
    <mergeCell ref="AH67:AI67"/>
    <mergeCell ref="BJ67:BK67"/>
    <mergeCell ref="AN67:AO67"/>
    <mergeCell ref="AQ67:AR67"/>
    <mergeCell ref="AT67:AU67"/>
    <mergeCell ref="BJ68:BK68"/>
    <mergeCell ref="BG67:BH67"/>
    <mergeCell ref="BG68:BH68"/>
    <mergeCell ref="AQ65:AR65"/>
    <mergeCell ref="AK66:AL66"/>
    <mergeCell ref="BJ72:BK72"/>
    <mergeCell ref="BM68:BN68"/>
    <mergeCell ref="BA67:BB67"/>
    <mergeCell ref="BS68:BT68"/>
    <mergeCell ref="BP68:BQ68"/>
    <mergeCell ref="BM69:BN69"/>
    <mergeCell ref="BP69:BQ69"/>
    <mergeCell ref="BY69:BZ69"/>
    <mergeCell ref="B70:B71"/>
    <mergeCell ref="J70:K70"/>
    <mergeCell ref="M70:N70"/>
    <mergeCell ref="D70:E70"/>
    <mergeCell ref="G70:H70"/>
    <mergeCell ref="AB69:AC69"/>
    <mergeCell ref="AE69:AF69"/>
    <mergeCell ref="AH69:AI69"/>
    <mergeCell ref="BJ69:BK69"/>
    <mergeCell ref="AN69:AO69"/>
    <mergeCell ref="AQ69:AR69"/>
    <mergeCell ref="AT69:AU69"/>
    <mergeCell ref="J69:K69"/>
    <mergeCell ref="M69:N69"/>
    <mergeCell ref="D69:E69"/>
    <mergeCell ref="G69:H69"/>
    <mergeCell ref="P69:Q69"/>
    <mergeCell ref="S69:T69"/>
    <mergeCell ref="BG71:BH71"/>
    <mergeCell ref="AE68:AF68"/>
    <mergeCell ref="AH68:AI68"/>
    <mergeCell ref="S68:T68"/>
    <mergeCell ref="AN68:AO68"/>
    <mergeCell ref="AQ68:AR68"/>
    <mergeCell ref="AQ70:AR70"/>
    <mergeCell ref="AT70:AU70"/>
    <mergeCell ref="AB70:AC70"/>
    <mergeCell ref="Z70:Z71"/>
    <mergeCell ref="AN70:AO70"/>
    <mergeCell ref="AN71:AO71"/>
    <mergeCell ref="BM71:BN71"/>
    <mergeCell ref="BP71:BQ71"/>
    <mergeCell ref="BY71:BZ71"/>
    <mergeCell ref="AQ71:AR71"/>
    <mergeCell ref="AT71:AU71"/>
    <mergeCell ref="AB71:AC71"/>
    <mergeCell ref="BM70:BN70"/>
    <mergeCell ref="BP70:BQ70"/>
    <mergeCell ref="AE70:AF70"/>
    <mergeCell ref="AH70:AI70"/>
    <mergeCell ref="AY70:AY71"/>
    <mergeCell ref="BJ70:BK70"/>
    <mergeCell ref="S73:T73"/>
    <mergeCell ref="AE71:AF71"/>
    <mergeCell ref="J71:K71"/>
    <mergeCell ref="M71:N71"/>
    <mergeCell ref="D71:E71"/>
    <mergeCell ref="G71:H71"/>
    <mergeCell ref="P71:Q71"/>
    <mergeCell ref="J73:K73"/>
    <mergeCell ref="M73:N73"/>
    <mergeCell ref="D73:E73"/>
    <mergeCell ref="G73:H73"/>
    <mergeCell ref="P73:Q73"/>
    <mergeCell ref="AB72:AC72"/>
    <mergeCell ref="AE72:AF72"/>
    <mergeCell ref="AH72:AI72"/>
    <mergeCell ref="AN72:AO72"/>
    <mergeCell ref="AQ72:AR72"/>
    <mergeCell ref="AH71:AI71"/>
    <mergeCell ref="AK72:AL72"/>
    <mergeCell ref="D75:E75"/>
    <mergeCell ref="G75:H75"/>
    <mergeCell ref="P75:Q75"/>
    <mergeCell ref="AE74:AF74"/>
    <mergeCell ref="AH74:AI74"/>
    <mergeCell ref="BY78:BZ78"/>
    <mergeCell ref="AT78:AU78"/>
    <mergeCell ref="AB78:AC78"/>
    <mergeCell ref="AE78:AF78"/>
    <mergeCell ref="AH78:AI78"/>
    <mergeCell ref="S78:T78"/>
    <mergeCell ref="AN78:AO78"/>
    <mergeCell ref="AQ78:AR78"/>
    <mergeCell ref="M72:N72"/>
    <mergeCell ref="D72:E72"/>
    <mergeCell ref="G72:H72"/>
    <mergeCell ref="P72:Q72"/>
    <mergeCell ref="S72:T72"/>
    <mergeCell ref="BM73:BN73"/>
    <mergeCell ref="BP73:BQ73"/>
    <mergeCell ref="BY73:BZ73"/>
    <mergeCell ref="AT73:AU73"/>
    <mergeCell ref="AB73:AC73"/>
    <mergeCell ref="BP75:BQ75"/>
    <mergeCell ref="BY75:BZ75"/>
    <mergeCell ref="AN73:AO73"/>
    <mergeCell ref="P78:Q78"/>
    <mergeCell ref="AK73:AL73"/>
    <mergeCell ref="J72:K72"/>
    <mergeCell ref="BA72:BB72"/>
    <mergeCell ref="BA73:BB73"/>
    <mergeCell ref="BG72:BH72"/>
    <mergeCell ref="BY70:BZ70"/>
    <mergeCell ref="AT75:AU75"/>
    <mergeCell ref="AB75:AC75"/>
    <mergeCell ref="AE75:AF75"/>
    <mergeCell ref="BY77:BZ77"/>
    <mergeCell ref="AB77:AC77"/>
    <mergeCell ref="AH75:AI75"/>
    <mergeCell ref="AN75:AO75"/>
    <mergeCell ref="AQ75:AR75"/>
    <mergeCell ref="BJ75:BK75"/>
    <mergeCell ref="BM75:BN75"/>
    <mergeCell ref="AB76:AC76"/>
    <mergeCell ref="AQ73:AR73"/>
    <mergeCell ref="AT74:AU74"/>
    <mergeCell ref="AB74:AC74"/>
    <mergeCell ref="AN76:AO76"/>
    <mergeCell ref="BJ74:BK74"/>
    <mergeCell ref="BM74:BN74"/>
    <mergeCell ref="BP74:BQ74"/>
    <mergeCell ref="BY74:BZ74"/>
    <mergeCell ref="BS75:BT75"/>
    <mergeCell ref="BS76:BT76"/>
    <mergeCell ref="BS77:BT77"/>
    <mergeCell ref="BJ73:BK73"/>
    <mergeCell ref="BG73:BH73"/>
    <mergeCell ref="AE73:AF73"/>
    <mergeCell ref="AH73:AI73"/>
    <mergeCell ref="AT72:AU72"/>
    <mergeCell ref="BM72:BN72"/>
    <mergeCell ref="BP72:BQ72"/>
    <mergeCell ref="BY72:BZ72"/>
    <mergeCell ref="BJ71:BK71"/>
    <mergeCell ref="J75:K75"/>
    <mergeCell ref="M75:N75"/>
    <mergeCell ref="BJ79:BK79"/>
    <mergeCell ref="AN79:AO79"/>
    <mergeCell ref="AQ79:AR79"/>
    <mergeCell ref="AE77:AF77"/>
    <mergeCell ref="AH77:AI77"/>
    <mergeCell ref="BJ77:BK77"/>
    <mergeCell ref="AN77:AO77"/>
    <mergeCell ref="AQ77:AR77"/>
    <mergeCell ref="AT77:AU77"/>
    <mergeCell ref="AB79:AC79"/>
    <mergeCell ref="AE79:AF79"/>
    <mergeCell ref="AH79:AI79"/>
    <mergeCell ref="J77:K77"/>
    <mergeCell ref="M77:N77"/>
    <mergeCell ref="AE76:AF76"/>
    <mergeCell ref="AH76:AI76"/>
    <mergeCell ref="AK78:AL78"/>
    <mergeCell ref="BP79:BQ79"/>
    <mergeCell ref="BM77:BN77"/>
    <mergeCell ref="BP77:BQ77"/>
    <mergeCell ref="BP78:BQ78"/>
    <mergeCell ref="J81:K81"/>
    <mergeCell ref="M81:N81"/>
    <mergeCell ref="D81:E81"/>
    <mergeCell ref="G81:H81"/>
    <mergeCell ref="P81:Q81"/>
    <mergeCell ref="S81:T81"/>
    <mergeCell ref="G80:H80"/>
    <mergeCell ref="J80:K80"/>
    <mergeCell ref="M80:N80"/>
    <mergeCell ref="D80:E80"/>
    <mergeCell ref="P80:Q80"/>
    <mergeCell ref="S80:T80"/>
    <mergeCell ref="AN80:AO80"/>
    <mergeCell ref="AH80:AI80"/>
    <mergeCell ref="BM81:BN81"/>
    <mergeCell ref="BP81:BQ81"/>
    <mergeCell ref="D77:E77"/>
    <mergeCell ref="G77:H77"/>
    <mergeCell ref="P77:Q77"/>
    <mergeCell ref="S77:T77"/>
    <mergeCell ref="AK77:AL77"/>
    <mergeCell ref="AT79:AU79"/>
    <mergeCell ref="J79:K79"/>
    <mergeCell ref="M79:N79"/>
    <mergeCell ref="D79:E79"/>
    <mergeCell ref="G79:H79"/>
    <mergeCell ref="J78:K78"/>
    <mergeCell ref="M78:N78"/>
    <mergeCell ref="J82:K82"/>
    <mergeCell ref="M82:N82"/>
    <mergeCell ref="D82:E82"/>
    <mergeCell ref="G82:H82"/>
    <mergeCell ref="P82:Q82"/>
    <mergeCell ref="AB80:AC80"/>
    <mergeCell ref="AE80:AF80"/>
    <mergeCell ref="AT80:AU80"/>
    <mergeCell ref="AQ80:AR80"/>
    <mergeCell ref="AB81:AC81"/>
    <mergeCell ref="AE81:AF81"/>
    <mergeCell ref="AH81:AI81"/>
    <mergeCell ref="AN81:AO81"/>
    <mergeCell ref="AQ81:AR81"/>
    <mergeCell ref="AT81:AU81"/>
    <mergeCell ref="BM78:BN78"/>
    <mergeCell ref="BM79:BN79"/>
    <mergeCell ref="D78:E78"/>
    <mergeCell ref="G78:H78"/>
    <mergeCell ref="AK79:AL79"/>
    <mergeCell ref="BJ78:BK78"/>
    <mergeCell ref="BM82:BN82"/>
    <mergeCell ref="BP82:BQ82"/>
    <mergeCell ref="AT82:AU82"/>
    <mergeCell ref="AB82:AC82"/>
    <mergeCell ref="AE82:AF82"/>
    <mergeCell ref="AH82:AI82"/>
    <mergeCell ref="AN82:AO82"/>
    <mergeCell ref="AQ82:AR82"/>
    <mergeCell ref="AK81:AL81"/>
    <mergeCell ref="BY84:BZ84"/>
    <mergeCell ref="AT84:AU84"/>
    <mergeCell ref="AB84:AC84"/>
    <mergeCell ref="AE84:AF84"/>
    <mergeCell ref="AH84:AI84"/>
    <mergeCell ref="AN84:AO84"/>
    <mergeCell ref="AQ84:AR84"/>
    <mergeCell ref="BD82:BE82"/>
    <mergeCell ref="BJ82:BK82"/>
    <mergeCell ref="BY82:BZ82"/>
    <mergeCell ref="BY81:BZ81"/>
    <mergeCell ref="BJ81:BK81"/>
    <mergeCell ref="BD81:BE81"/>
    <mergeCell ref="BM83:BN83"/>
    <mergeCell ref="BP83:BQ83"/>
    <mergeCell ref="BY83:BZ83"/>
    <mergeCell ref="AB83:AC83"/>
    <mergeCell ref="AE83:AF83"/>
    <mergeCell ref="AH83:AI83"/>
    <mergeCell ref="BJ83:BK83"/>
    <mergeCell ref="AN83:AO83"/>
    <mergeCell ref="AQ83:AR83"/>
    <mergeCell ref="AT83:AU83"/>
    <mergeCell ref="AB85:AC85"/>
    <mergeCell ref="AE85:AF85"/>
    <mergeCell ref="AH85:AI85"/>
    <mergeCell ref="BJ85:BK85"/>
    <mergeCell ref="BD83:BE83"/>
    <mergeCell ref="BG83:BH83"/>
    <mergeCell ref="BG84:BH84"/>
    <mergeCell ref="BJ84:BK84"/>
    <mergeCell ref="BM84:BN84"/>
    <mergeCell ref="AN85:AO85"/>
    <mergeCell ref="AQ85:AR85"/>
    <mergeCell ref="AT85:AU85"/>
    <mergeCell ref="G85:H85"/>
    <mergeCell ref="P85:Q85"/>
    <mergeCell ref="S85:T85"/>
    <mergeCell ref="BP84:BQ84"/>
    <mergeCell ref="J84:K84"/>
    <mergeCell ref="M84:N84"/>
    <mergeCell ref="D84:E84"/>
    <mergeCell ref="G84:H84"/>
    <mergeCell ref="P84:Q84"/>
    <mergeCell ref="BD84:BE84"/>
    <mergeCell ref="BD85:BE85"/>
    <mergeCell ref="BM85:BN85"/>
    <mergeCell ref="BP85:BQ85"/>
    <mergeCell ref="BG85:BH85"/>
    <mergeCell ref="BA84:BB84"/>
    <mergeCell ref="BA85:BB85"/>
    <mergeCell ref="BY85:BZ85"/>
    <mergeCell ref="J83:K83"/>
    <mergeCell ref="M83:N83"/>
    <mergeCell ref="D83:E83"/>
    <mergeCell ref="G83:H83"/>
    <mergeCell ref="P83:Q83"/>
    <mergeCell ref="AQ86:AR86"/>
    <mergeCell ref="G86:H86"/>
    <mergeCell ref="BM86:BN86"/>
    <mergeCell ref="BP86:BQ86"/>
    <mergeCell ref="BY86:BZ86"/>
    <mergeCell ref="J87:K87"/>
    <mergeCell ref="M87:N87"/>
    <mergeCell ref="D87:E87"/>
    <mergeCell ref="G87:H87"/>
    <mergeCell ref="P87:Q87"/>
    <mergeCell ref="AB86:AC86"/>
    <mergeCell ref="AE86:AF86"/>
    <mergeCell ref="AH86:AI86"/>
    <mergeCell ref="BJ86:BK86"/>
    <mergeCell ref="AN86:AO86"/>
    <mergeCell ref="AT86:AU86"/>
    <mergeCell ref="J86:K86"/>
    <mergeCell ref="M86:N86"/>
    <mergeCell ref="D86:E86"/>
    <mergeCell ref="P86:Q86"/>
    <mergeCell ref="S86:T86"/>
    <mergeCell ref="BD86:BE86"/>
    <mergeCell ref="BD87:BE87"/>
    <mergeCell ref="AK87:AL87"/>
    <mergeCell ref="J85:K85"/>
    <mergeCell ref="M85:N85"/>
    <mergeCell ref="D85:E85"/>
    <mergeCell ref="B88:B89"/>
    <mergeCell ref="J88:K88"/>
    <mergeCell ref="M88:N88"/>
    <mergeCell ref="D88:E88"/>
    <mergeCell ref="G88:H88"/>
    <mergeCell ref="P88:Q88"/>
    <mergeCell ref="BJ87:BK87"/>
    <mergeCell ref="BM87:BN87"/>
    <mergeCell ref="BP87:BQ87"/>
    <mergeCell ref="BY87:BZ87"/>
    <mergeCell ref="AT87:AU87"/>
    <mergeCell ref="AB87:AC87"/>
    <mergeCell ref="AE87:AF87"/>
    <mergeCell ref="AH87:AI87"/>
    <mergeCell ref="S87:T87"/>
    <mergeCell ref="AN87:AO87"/>
    <mergeCell ref="AQ87:AR87"/>
    <mergeCell ref="AH89:AI89"/>
    <mergeCell ref="BJ89:BK89"/>
    <mergeCell ref="AT88:AU88"/>
    <mergeCell ref="Z88:Z89"/>
    <mergeCell ref="AN88:AO88"/>
    <mergeCell ref="AQ88:AR88"/>
    <mergeCell ref="AN89:AO89"/>
    <mergeCell ref="AQ89:AR89"/>
    <mergeCell ref="AB88:AC88"/>
    <mergeCell ref="D90:E90"/>
    <mergeCell ref="G90:H90"/>
    <mergeCell ref="P90:Q90"/>
    <mergeCell ref="S90:T90"/>
    <mergeCell ref="AT89:AU89"/>
    <mergeCell ref="AB89:AC89"/>
    <mergeCell ref="AE89:AF89"/>
    <mergeCell ref="BM88:BN88"/>
    <mergeCell ref="BP88:BQ88"/>
    <mergeCell ref="BY88:BZ88"/>
    <mergeCell ref="J89:K89"/>
    <mergeCell ref="M89:N89"/>
    <mergeCell ref="D89:E89"/>
    <mergeCell ref="G89:H89"/>
    <mergeCell ref="P89:Q89"/>
    <mergeCell ref="S89:T89"/>
    <mergeCell ref="AH88:AI88"/>
    <mergeCell ref="AY88:AY89"/>
    <mergeCell ref="BJ88:BK88"/>
    <mergeCell ref="BM90:BN90"/>
    <mergeCell ref="BP90:BQ90"/>
    <mergeCell ref="AE88:AF88"/>
    <mergeCell ref="S88:T88"/>
    <mergeCell ref="AB90:AC90"/>
    <mergeCell ref="AE90:AF90"/>
    <mergeCell ref="AH90:AI90"/>
    <mergeCell ref="BJ90:BK90"/>
    <mergeCell ref="AN90:AO90"/>
    <mergeCell ref="AQ90:AR90"/>
    <mergeCell ref="AT90:AU90"/>
    <mergeCell ref="BD91:BE91"/>
    <mergeCell ref="BA91:BB91"/>
    <mergeCell ref="BG91:BH91"/>
    <mergeCell ref="BM89:BN89"/>
    <mergeCell ref="BD89:BE89"/>
    <mergeCell ref="BD90:BE90"/>
    <mergeCell ref="BM91:BN91"/>
    <mergeCell ref="BP89:BQ89"/>
    <mergeCell ref="BY89:BZ89"/>
    <mergeCell ref="J90:K90"/>
    <mergeCell ref="M90:N90"/>
    <mergeCell ref="D93:E93"/>
    <mergeCell ref="G93:H93"/>
    <mergeCell ref="P93:Q93"/>
    <mergeCell ref="AB91:AC91"/>
    <mergeCell ref="AE91:AF91"/>
    <mergeCell ref="AH91:AI91"/>
    <mergeCell ref="BJ91:BK91"/>
    <mergeCell ref="AN91:AO91"/>
    <mergeCell ref="AQ91:AR91"/>
    <mergeCell ref="AT91:AU91"/>
    <mergeCell ref="BJ93:BK93"/>
    <mergeCell ref="BM93:BN93"/>
    <mergeCell ref="BP93:BQ93"/>
    <mergeCell ref="BY93:BZ93"/>
    <mergeCell ref="AT93:AU93"/>
    <mergeCell ref="AB93:AC93"/>
    <mergeCell ref="AE93:AF93"/>
    <mergeCell ref="D91:E91"/>
    <mergeCell ref="G91:H91"/>
    <mergeCell ref="P91:Q91"/>
    <mergeCell ref="S91:T91"/>
    <mergeCell ref="BV93:BW93"/>
    <mergeCell ref="BY90:BZ90"/>
    <mergeCell ref="J91:K91"/>
    <mergeCell ref="M91:N91"/>
    <mergeCell ref="AH93:AI93"/>
    <mergeCell ref="S93:T93"/>
    <mergeCell ref="AN93:AO93"/>
    <mergeCell ref="AQ93:AR93"/>
    <mergeCell ref="BM94:BN94"/>
    <mergeCell ref="BP94:BQ94"/>
    <mergeCell ref="BY94:BZ94"/>
    <mergeCell ref="B95:B96"/>
    <mergeCell ref="J95:K95"/>
    <mergeCell ref="M95:N95"/>
    <mergeCell ref="D95:E95"/>
    <mergeCell ref="G95:H95"/>
    <mergeCell ref="AB94:AC94"/>
    <mergeCell ref="AE94:AF94"/>
    <mergeCell ref="AH94:AI94"/>
    <mergeCell ref="BJ94:BK94"/>
    <mergeCell ref="AN94:AO94"/>
    <mergeCell ref="AQ94:AR94"/>
    <mergeCell ref="AT94:AU94"/>
    <mergeCell ref="J94:K94"/>
    <mergeCell ref="M94:N94"/>
    <mergeCell ref="D94:E94"/>
    <mergeCell ref="G94:H94"/>
    <mergeCell ref="P94:Q94"/>
    <mergeCell ref="S94:T94"/>
    <mergeCell ref="BP91:BQ91"/>
    <mergeCell ref="BY91:BZ91"/>
    <mergeCell ref="J93:K93"/>
    <mergeCell ref="M93:N93"/>
    <mergeCell ref="AT95:AU95"/>
    <mergeCell ref="AB95:AC95"/>
    <mergeCell ref="P95:Q95"/>
    <mergeCell ref="S95:T95"/>
    <mergeCell ref="Z95:Z96"/>
    <mergeCell ref="AN95:AO95"/>
    <mergeCell ref="AN96:AO96"/>
    <mergeCell ref="BD96:BE96"/>
    <mergeCell ref="BM96:BN96"/>
    <mergeCell ref="BP96:BQ96"/>
    <mergeCell ref="BY96:BZ96"/>
    <mergeCell ref="AQ96:AR96"/>
    <mergeCell ref="AT96:AU96"/>
    <mergeCell ref="AB96:AC96"/>
    <mergeCell ref="BM95:BN95"/>
    <mergeCell ref="BP95:BQ95"/>
    <mergeCell ref="BY95:BZ95"/>
    <mergeCell ref="BS95:BT95"/>
    <mergeCell ref="BS96:BT96"/>
    <mergeCell ref="D96:E96"/>
    <mergeCell ref="G96:H96"/>
    <mergeCell ref="P96:Q96"/>
    <mergeCell ref="S96:T96"/>
    <mergeCell ref="AE95:AF95"/>
    <mergeCell ref="AH95:AI95"/>
    <mergeCell ref="AY95:AY96"/>
    <mergeCell ref="BJ95:BK95"/>
    <mergeCell ref="J98:K98"/>
    <mergeCell ref="M98:N98"/>
    <mergeCell ref="D98:E98"/>
    <mergeCell ref="G98:H98"/>
    <mergeCell ref="P98:Q98"/>
    <mergeCell ref="AB97:AC97"/>
    <mergeCell ref="AE97:AF97"/>
    <mergeCell ref="AH97:AI97"/>
    <mergeCell ref="BJ97:BK97"/>
    <mergeCell ref="AN97:AO97"/>
    <mergeCell ref="AQ97:AR97"/>
    <mergeCell ref="AT97:AU97"/>
    <mergeCell ref="BJ98:BK98"/>
    <mergeCell ref="G97:H97"/>
    <mergeCell ref="P97:Q97"/>
    <mergeCell ref="S97:T97"/>
    <mergeCell ref="J97:K97"/>
    <mergeCell ref="AK98:AL98"/>
    <mergeCell ref="AE96:AF96"/>
    <mergeCell ref="AH96:AI96"/>
    <mergeCell ref="J96:K96"/>
    <mergeCell ref="M96:N96"/>
    <mergeCell ref="BJ96:BK96"/>
    <mergeCell ref="AQ95:AR95"/>
    <mergeCell ref="M97:N97"/>
    <mergeCell ref="BM98:BN98"/>
    <mergeCell ref="BP98:BQ98"/>
    <mergeCell ref="BY98:BZ98"/>
    <mergeCell ref="AT98:AU98"/>
    <mergeCell ref="AB98:AC98"/>
    <mergeCell ref="BP100:BQ100"/>
    <mergeCell ref="BY100:BZ100"/>
    <mergeCell ref="AT100:AU100"/>
    <mergeCell ref="AB100:AC100"/>
    <mergeCell ref="AE100:AF100"/>
    <mergeCell ref="AH100:AI100"/>
    <mergeCell ref="S100:T100"/>
    <mergeCell ref="AN100:AO100"/>
    <mergeCell ref="AQ100:AR100"/>
    <mergeCell ref="AE98:AF98"/>
    <mergeCell ref="AH98:AI98"/>
    <mergeCell ref="S98:T98"/>
    <mergeCell ref="AN98:AO98"/>
    <mergeCell ref="AQ98:AR98"/>
    <mergeCell ref="BM99:BN99"/>
    <mergeCell ref="BP99:BQ99"/>
    <mergeCell ref="BY99:BZ99"/>
    <mergeCell ref="AB99:AC99"/>
    <mergeCell ref="AE99:AF99"/>
    <mergeCell ref="AH99:AI99"/>
    <mergeCell ref="BJ99:BK99"/>
    <mergeCell ref="AN99:AO99"/>
    <mergeCell ref="BM97:BN97"/>
    <mergeCell ref="BP97:BQ97"/>
    <mergeCell ref="BY97:BZ97"/>
    <mergeCell ref="BS97:BT97"/>
    <mergeCell ref="AQ99:AR99"/>
    <mergeCell ref="AT99:AU99"/>
    <mergeCell ref="J101:K101"/>
    <mergeCell ref="M101:N101"/>
    <mergeCell ref="D101:E101"/>
    <mergeCell ref="G101:H101"/>
    <mergeCell ref="P101:Q101"/>
    <mergeCell ref="S101:T101"/>
    <mergeCell ref="BJ102:BK102"/>
    <mergeCell ref="BM102:BN102"/>
    <mergeCell ref="D99:E99"/>
    <mergeCell ref="G99:H99"/>
    <mergeCell ref="P99:Q99"/>
    <mergeCell ref="S99:T99"/>
    <mergeCell ref="BJ100:BK100"/>
    <mergeCell ref="BM100:BN100"/>
    <mergeCell ref="J100:K100"/>
    <mergeCell ref="M100:N100"/>
    <mergeCell ref="D100:E100"/>
    <mergeCell ref="G100:H100"/>
    <mergeCell ref="P100:Q100"/>
    <mergeCell ref="J99:K99"/>
    <mergeCell ref="M99:N99"/>
    <mergeCell ref="AK99:AL99"/>
    <mergeCell ref="AK100:AL100"/>
    <mergeCell ref="AK101:AL101"/>
    <mergeCell ref="BA101:BB101"/>
    <mergeCell ref="BY102:BZ102"/>
    <mergeCell ref="AT102:AU102"/>
    <mergeCell ref="AB102:AC102"/>
    <mergeCell ref="AE102:AF102"/>
    <mergeCell ref="AH102:AI102"/>
    <mergeCell ref="AN102:AO102"/>
    <mergeCell ref="AQ102:AR102"/>
    <mergeCell ref="BM103:BN103"/>
    <mergeCell ref="BP103:BQ103"/>
    <mergeCell ref="BY103:BZ103"/>
    <mergeCell ref="BM101:BN101"/>
    <mergeCell ref="BP101:BQ101"/>
    <mergeCell ref="BY101:BZ101"/>
    <mergeCell ref="AB101:AC101"/>
    <mergeCell ref="AE101:AF101"/>
    <mergeCell ref="AH101:AI101"/>
    <mergeCell ref="BJ101:BK101"/>
    <mergeCell ref="AN101:AO101"/>
    <mergeCell ref="AQ101:AR101"/>
    <mergeCell ref="AT101:AU101"/>
    <mergeCell ref="AB103:AC103"/>
    <mergeCell ref="AE103:AF103"/>
    <mergeCell ref="AH103:AI103"/>
    <mergeCell ref="BJ103:BK103"/>
    <mergeCell ref="AN103:AO103"/>
    <mergeCell ref="AQ103:AR103"/>
    <mergeCell ref="AT103:AU103"/>
    <mergeCell ref="J103:K103"/>
    <mergeCell ref="M103:N103"/>
    <mergeCell ref="D103:E103"/>
    <mergeCell ref="G103:H103"/>
    <mergeCell ref="P103:Q103"/>
    <mergeCell ref="S103:T103"/>
    <mergeCell ref="BJ104:BK104"/>
    <mergeCell ref="BP102:BQ102"/>
    <mergeCell ref="J102:K102"/>
    <mergeCell ref="M102:N102"/>
    <mergeCell ref="D102:E102"/>
    <mergeCell ref="G102:H102"/>
    <mergeCell ref="P102:Q102"/>
    <mergeCell ref="AK102:AL102"/>
    <mergeCell ref="AK103:AL103"/>
    <mergeCell ref="AK104:AL104"/>
    <mergeCell ref="J104:K104"/>
    <mergeCell ref="M104:N104"/>
    <mergeCell ref="D104:E104"/>
    <mergeCell ref="G104:H104"/>
    <mergeCell ref="P104:Q104"/>
    <mergeCell ref="BA102:BB102"/>
    <mergeCell ref="BA103:BB103"/>
    <mergeCell ref="BM104:BN104"/>
    <mergeCell ref="BP104:BQ104"/>
    <mergeCell ref="BY104:BZ104"/>
    <mergeCell ref="AT104:AU104"/>
    <mergeCell ref="AB104:AC104"/>
    <mergeCell ref="AE104:AF104"/>
    <mergeCell ref="AH104:AI104"/>
    <mergeCell ref="AN104:AO104"/>
    <mergeCell ref="AQ104:AR104"/>
    <mergeCell ref="BY106:BZ106"/>
    <mergeCell ref="AT106:AU106"/>
    <mergeCell ref="BP106:BQ106"/>
    <mergeCell ref="AE105:AF105"/>
    <mergeCell ref="AH105:AI105"/>
    <mergeCell ref="AK105:AL105"/>
    <mergeCell ref="BD105:BE105"/>
    <mergeCell ref="BJ105:BK105"/>
    <mergeCell ref="BM105:BN105"/>
    <mergeCell ref="BP105:BQ105"/>
    <mergeCell ref="BY105:BZ105"/>
    <mergeCell ref="AT105:AU105"/>
    <mergeCell ref="AB105:AC105"/>
    <mergeCell ref="BA104:BB104"/>
    <mergeCell ref="BY107:BZ107"/>
    <mergeCell ref="AB107:AC107"/>
    <mergeCell ref="AE107:AF107"/>
    <mergeCell ref="AH107:AI107"/>
    <mergeCell ref="BJ107:BK107"/>
    <mergeCell ref="AN107:AO107"/>
    <mergeCell ref="AQ107:AR107"/>
    <mergeCell ref="AT107:AU107"/>
    <mergeCell ref="J107:K107"/>
    <mergeCell ref="M107:N107"/>
    <mergeCell ref="D107:E107"/>
    <mergeCell ref="G107:H107"/>
    <mergeCell ref="P107:Q107"/>
    <mergeCell ref="S107:T107"/>
    <mergeCell ref="BJ108:BK108"/>
    <mergeCell ref="BY108:BZ108"/>
    <mergeCell ref="J108:K108"/>
    <mergeCell ref="M108:N108"/>
    <mergeCell ref="D108:E108"/>
    <mergeCell ref="G108:H108"/>
    <mergeCell ref="P108:Q108"/>
    <mergeCell ref="BA107:BB107"/>
    <mergeCell ref="BA108:BB108"/>
    <mergeCell ref="J106:K106"/>
    <mergeCell ref="M106:N106"/>
    <mergeCell ref="D106:E106"/>
    <mergeCell ref="G106:H106"/>
    <mergeCell ref="P106:Q106"/>
    <mergeCell ref="BM108:BN108"/>
    <mergeCell ref="BP108:BQ108"/>
    <mergeCell ref="BD107:BE107"/>
    <mergeCell ref="AK106:AL106"/>
    <mergeCell ref="AK107:AL107"/>
    <mergeCell ref="AB106:AC106"/>
    <mergeCell ref="AE106:AF106"/>
    <mergeCell ref="AH106:AI106"/>
    <mergeCell ref="S106:T106"/>
    <mergeCell ref="AN106:AO106"/>
    <mergeCell ref="AQ106:AR106"/>
    <mergeCell ref="BM107:BN107"/>
    <mergeCell ref="BP107:BQ107"/>
    <mergeCell ref="AT108:AU108"/>
    <mergeCell ref="AB108:AC108"/>
    <mergeCell ref="AE108:AF108"/>
    <mergeCell ref="AH108:AI108"/>
    <mergeCell ref="S108:T108"/>
    <mergeCell ref="AN108:AO108"/>
    <mergeCell ref="AQ108:AR108"/>
    <mergeCell ref="BJ106:BK106"/>
    <mergeCell ref="BM106:BN106"/>
    <mergeCell ref="BM109:BN109"/>
    <mergeCell ref="BP109:BQ109"/>
    <mergeCell ref="BY109:BZ109"/>
    <mergeCell ref="BD108:BE108"/>
    <mergeCell ref="AK108:AL108"/>
    <mergeCell ref="J110:K110"/>
    <mergeCell ref="M110:N110"/>
    <mergeCell ref="D110:E110"/>
    <mergeCell ref="G110:H110"/>
    <mergeCell ref="P110:Q110"/>
    <mergeCell ref="AB109:AC109"/>
    <mergeCell ref="AE109:AF109"/>
    <mergeCell ref="AH109:AI109"/>
    <mergeCell ref="BJ109:BK109"/>
    <mergeCell ref="AN109:AO109"/>
    <mergeCell ref="AQ109:AR109"/>
    <mergeCell ref="AT109:AU109"/>
    <mergeCell ref="J109:K109"/>
    <mergeCell ref="M109:N109"/>
    <mergeCell ref="D109:E109"/>
    <mergeCell ref="G109:H109"/>
    <mergeCell ref="P109:Q109"/>
    <mergeCell ref="S109:T109"/>
    <mergeCell ref="BJ110:BK110"/>
    <mergeCell ref="BD109:BE109"/>
    <mergeCell ref="AK109:AL109"/>
    <mergeCell ref="BM110:BN110"/>
    <mergeCell ref="BP110:BQ110"/>
    <mergeCell ref="BY110:BZ110"/>
    <mergeCell ref="AT110:AU110"/>
    <mergeCell ref="AB110:AC110"/>
    <mergeCell ref="AE110:AF110"/>
    <mergeCell ref="AH110:AI110"/>
    <mergeCell ref="AN110:AO110"/>
    <mergeCell ref="AQ110:AR110"/>
    <mergeCell ref="BM111:BN111"/>
    <mergeCell ref="BP111:BQ111"/>
    <mergeCell ref="BY111:BZ111"/>
    <mergeCell ref="AB111:AC111"/>
    <mergeCell ref="AE111:AF111"/>
    <mergeCell ref="AH111:AI111"/>
    <mergeCell ref="BJ111:BK111"/>
    <mergeCell ref="AN111:AO111"/>
    <mergeCell ref="AQ111:AR111"/>
    <mergeCell ref="AT111:AU111"/>
    <mergeCell ref="BD110:BE110"/>
    <mergeCell ref="BD111:BE111"/>
    <mergeCell ref="AK110:AL110"/>
    <mergeCell ref="AK111:AL111"/>
    <mergeCell ref="BA110:BB110"/>
    <mergeCell ref="BA111:BB111"/>
    <mergeCell ref="BG144:BH144"/>
    <mergeCell ref="BM144:BN144"/>
    <mergeCell ref="BV144:BW144"/>
    <mergeCell ref="AK144:AL144"/>
    <mergeCell ref="AQ144:AR144"/>
    <mergeCell ref="AT144:AU144"/>
    <mergeCell ref="BG143:BH143"/>
    <mergeCell ref="BM143:BN143"/>
    <mergeCell ref="BV143:BW143"/>
    <mergeCell ref="D144:E144"/>
    <mergeCell ref="G144:H144"/>
    <mergeCell ref="J144:K144"/>
    <mergeCell ref="AB144:AC144"/>
    <mergeCell ref="AE144:AF144"/>
    <mergeCell ref="AH144:AI144"/>
    <mergeCell ref="AK143:AL143"/>
    <mergeCell ref="AQ143:AR143"/>
    <mergeCell ref="AT143:AU143"/>
    <mergeCell ref="BA143:BB143"/>
    <mergeCell ref="BA144:BB144"/>
    <mergeCell ref="BJ143:BK143"/>
    <mergeCell ref="BJ144:BK144"/>
    <mergeCell ref="D143:E143"/>
    <mergeCell ref="G143:H143"/>
    <mergeCell ref="J143:K143"/>
    <mergeCell ref="AB143:AC143"/>
    <mergeCell ref="AE143:AF143"/>
    <mergeCell ref="AH143:AI143"/>
    <mergeCell ref="BG145:BH145"/>
    <mergeCell ref="BM145:BN145"/>
    <mergeCell ref="BV145:BW145"/>
    <mergeCell ref="D146:E146"/>
    <mergeCell ref="G146:H146"/>
    <mergeCell ref="J146:K146"/>
    <mergeCell ref="AB146:AC146"/>
    <mergeCell ref="AE146:AF146"/>
    <mergeCell ref="AH146:AI146"/>
    <mergeCell ref="AK145:AL145"/>
    <mergeCell ref="AQ145:AR145"/>
    <mergeCell ref="AT145:AU145"/>
    <mergeCell ref="BA145:BB145"/>
    <mergeCell ref="BA146:BB146"/>
    <mergeCell ref="D145:E145"/>
    <mergeCell ref="G145:H145"/>
    <mergeCell ref="J145:K145"/>
    <mergeCell ref="AB145:AC145"/>
    <mergeCell ref="AE145:AF145"/>
    <mergeCell ref="AH145:AI145"/>
    <mergeCell ref="BJ145:BK145"/>
    <mergeCell ref="BG147:BH147"/>
    <mergeCell ref="BM147:BN147"/>
    <mergeCell ref="BV147:BW147"/>
    <mergeCell ref="D148:E148"/>
    <mergeCell ref="G148:H148"/>
    <mergeCell ref="J148:K148"/>
    <mergeCell ref="AB148:AC148"/>
    <mergeCell ref="AE148:AF148"/>
    <mergeCell ref="AH148:AI148"/>
    <mergeCell ref="AK147:AL147"/>
    <mergeCell ref="AQ147:AR147"/>
    <mergeCell ref="AT147:AU147"/>
    <mergeCell ref="BA147:BB147"/>
    <mergeCell ref="BA148:BB148"/>
    <mergeCell ref="BG146:BH146"/>
    <mergeCell ref="BM146:BN146"/>
    <mergeCell ref="BV146:BW146"/>
    <mergeCell ref="D147:E147"/>
    <mergeCell ref="G147:H147"/>
    <mergeCell ref="J147:K147"/>
    <mergeCell ref="AB147:AC147"/>
    <mergeCell ref="AE147:AF147"/>
    <mergeCell ref="AH147:AI147"/>
    <mergeCell ref="AK146:AL146"/>
    <mergeCell ref="AQ146:AR146"/>
    <mergeCell ref="AT146:AU146"/>
    <mergeCell ref="BG149:BH149"/>
    <mergeCell ref="BM149:BN149"/>
    <mergeCell ref="BV149:BW149"/>
    <mergeCell ref="D150:E150"/>
    <mergeCell ref="G150:H150"/>
    <mergeCell ref="J150:K150"/>
    <mergeCell ref="AB150:AC150"/>
    <mergeCell ref="AE150:AF150"/>
    <mergeCell ref="AH150:AI150"/>
    <mergeCell ref="AK149:AL149"/>
    <mergeCell ref="AQ149:AR149"/>
    <mergeCell ref="AT149:AU149"/>
    <mergeCell ref="BA149:BB149"/>
    <mergeCell ref="BA150:BB150"/>
    <mergeCell ref="BG148:BH148"/>
    <mergeCell ref="BM148:BN148"/>
    <mergeCell ref="BV148:BW148"/>
    <mergeCell ref="D149:E149"/>
    <mergeCell ref="G149:H149"/>
    <mergeCell ref="J149:K149"/>
    <mergeCell ref="AB149:AC149"/>
    <mergeCell ref="AE149:AF149"/>
    <mergeCell ref="AH149:AI149"/>
    <mergeCell ref="AK148:AL148"/>
    <mergeCell ref="AQ148:AR148"/>
    <mergeCell ref="AT148:AU148"/>
    <mergeCell ref="BJ154:BK154"/>
    <mergeCell ref="BJ155:BK155"/>
    <mergeCell ref="AK151:AL151"/>
    <mergeCell ref="AQ151:AR151"/>
    <mergeCell ref="AT151:AU151"/>
    <mergeCell ref="BA151:BB151"/>
    <mergeCell ref="BA152:BB152"/>
    <mergeCell ref="BG150:BH150"/>
    <mergeCell ref="BM150:BN150"/>
    <mergeCell ref="BV150:BW150"/>
    <mergeCell ref="D151:E151"/>
    <mergeCell ref="G151:H151"/>
    <mergeCell ref="J151:K151"/>
    <mergeCell ref="AB151:AC151"/>
    <mergeCell ref="AE151:AF151"/>
    <mergeCell ref="AH151:AI151"/>
    <mergeCell ref="AK150:AL150"/>
    <mergeCell ref="AQ150:AR150"/>
    <mergeCell ref="AT150:AU150"/>
    <mergeCell ref="BJ150:BK150"/>
    <mergeCell ref="BJ151:BK151"/>
    <mergeCell ref="BM152:BN152"/>
    <mergeCell ref="D153:E153"/>
    <mergeCell ref="G153:H153"/>
    <mergeCell ref="J153:K153"/>
    <mergeCell ref="AB153:AC153"/>
    <mergeCell ref="AE153:AF153"/>
    <mergeCell ref="AH153:AI153"/>
    <mergeCell ref="AK152:AL152"/>
    <mergeCell ref="AQ152:AR152"/>
    <mergeCell ref="AT152:AU152"/>
    <mergeCell ref="D152:E152"/>
    <mergeCell ref="G152:H152"/>
    <mergeCell ref="J152:K152"/>
    <mergeCell ref="AB152:AC152"/>
    <mergeCell ref="AE152:AF152"/>
    <mergeCell ref="AH152:AI152"/>
    <mergeCell ref="BJ152:BK152"/>
    <mergeCell ref="BJ153:BK153"/>
    <mergeCell ref="J111:K111"/>
    <mergeCell ref="M111:N111"/>
    <mergeCell ref="D111:E111"/>
    <mergeCell ref="G111:H111"/>
    <mergeCell ref="P111:Q111"/>
    <mergeCell ref="S111:T111"/>
    <mergeCell ref="AK155:AL155"/>
    <mergeCell ref="AQ155:AR155"/>
    <mergeCell ref="AT155:AU155"/>
    <mergeCell ref="BG154:BH154"/>
    <mergeCell ref="BM154:BN154"/>
    <mergeCell ref="BV154:BW154"/>
    <mergeCell ref="D155:E155"/>
    <mergeCell ref="BP112:BQ112"/>
    <mergeCell ref="BY112:BZ112"/>
    <mergeCell ref="AT112:AU112"/>
    <mergeCell ref="AB112:AC112"/>
    <mergeCell ref="AE112:AF112"/>
    <mergeCell ref="AH112:AI112"/>
    <mergeCell ref="S112:T112"/>
    <mergeCell ref="AN112:AO112"/>
    <mergeCell ref="G155:H155"/>
    <mergeCell ref="J155:K155"/>
    <mergeCell ref="AB155:AC155"/>
    <mergeCell ref="AE155:AF155"/>
    <mergeCell ref="AH155:AI155"/>
    <mergeCell ref="AK154:AL154"/>
    <mergeCell ref="D154:E154"/>
    <mergeCell ref="G154:H154"/>
    <mergeCell ref="J154:K154"/>
    <mergeCell ref="AE154:AF154"/>
    <mergeCell ref="AH154:AI154"/>
    <mergeCell ref="BP113:BQ113"/>
    <mergeCell ref="BY113:BZ113"/>
    <mergeCell ref="G112:H112"/>
    <mergeCell ref="P112:Q112"/>
    <mergeCell ref="AB113:AC113"/>
    <mergeCell ref="AE113:AF113"/>
    <mergeCell ref="AH113:AI113"/>
    <mergeCell ref="BJ113:BK113"/>
    <mergeCell ref="AN113:AO113"/>
    <mergeCell ref="AQ113:AR113"/>
    <mergeCell ref="AT113:AU113"/>
    <mergeCell ref="BJ112:BK112"/>
    <mergeCell ref="BG155:BH155"/>
    <mergeCell ref="BM155:BN155"/>
    <mergeCell ref="BV155:BW155"/>
    <mergeCell ref="AQ154:AR154"/>
    <mergeCell ref="AT154:AU154"/>
    <mergeCell ref="BG153:BH153"/>
    <mergeCell ref="BM153:BN153"/>
    <mergeCell ref="BV153:BW153"/>
    <mergeCell ref="BV152:BW152"/>
    <mergeCell ref="BG151:BH151"/>
    <mergeCell ref="BM151:BN151"/>
    <mergeCell ref="BV151:BW151"/>
    <mergeCell ref="AB154:AC154"/>
    <mergeCell ref="AK153:AL153"/>
    <mergeCell ref="AQ153:AR153"/>
    <mergeCell ref="AT153:AU153"/>
    <mergeCell ref="BA153:BB153"/>
    <mergeCell ref="BA154:BB154"/>
    <mergeCell ref="BA155:BB155"/>
    <mergeCell ref="BG152:BH152"/>
    <mergeCell ref="J113:K113"/>
    <mergeCell ref="M113:N113"/>
    <mergeCell ref="D113:E113"/>
    <mergeCell ref="G113:H113"/>
    <mergeCell ref="P113:Q113"/>
    <mergeCell ref="S113:T113"/>
    <mergeCell ref="BJ114:BK114"/>
    <mergeCell ref="BM112:BN112"/>
    <mergeCell ref="J112:K112"/>
    <mergeCell ref="M112:N112"/>
    <mergeCell ref="D112:E112"/>
    <mergeCell ref="J115:K115"/>
    <mergeCell ref="M115:N115"/>
    <mergeCell ref="D115:E115"/>
    <mergeCell ref="G115:H115"/>
    <mergeCell ref="P115:Q115"/>
    <mergeCell ref="S115:T115"/>
    <mergeCell ref="J114:K114"/>
    <mergeCell ref="M114:N114"/>
    <mergeCell ref="D114:E114"/>
    <mergeCell ref="G114:H114"/>
    <mergeCell ref="P114:Q114"/>
    <mergeCell ref="BD112:BE112"/>
    <mergeCell ref="BD113:BE113"/>
    <mergeCell ref="AK112:AL112"/>
    <mergeCell ref="AK113:AL113"/>
    <mergeCell ref="AQ112:AR112"/>
    <mergeCell ref="BM113:BN113"/>
    <mergeCell ref="BM114:BN114"/>
    <mergeCell ref="BP114:BQ114"/>
    <mergeCell ref="BY114:BZ114"/>
    <mergeCell ref="AT114:AU114"/>
    <mergeCell ref="AB114:AC114"/>
    <mergeCell ref="AE114:AF114"/>
    <mergeCell ref="AH114:AI114"/>
    <mergeCell ref="AN114:AO114"/>
    <mergeCell ref="AQ114:AR114"/>
    <mergeCell ref="BD114:BE114"/>
    <mergeCell ref="BY116:BZ116"/>
    <mergeCell ref="AT116:AU116"/>
    <mergeCell ref="AB116:AC116"/>
    <mergeCell ref="AE116:AF116"/>
    <mergeCell ref="AH116:AI116"/>
    <mergeCell ref="AN116:AO116"/>
    <mergeCell ref="AQ116:AR116"/>
    <mergeCell ref="AK114:AL114"/>
    <mergeCell ref="BY117:BZ117"/>
    <mergeCell ref="BM115:BN115"/>
    <mergeCell ref="BP115:BQ115"/>
    <mergeCell ref="BY115:BZ115"/>
    <mergeCell ref="AB115:AC115"/>
    <mergeCell ref="AE115:AF115"/>
    <mergeCell ref="AH115:AI115"/>
    <mergeCell ref="BJ115:BK115"/>
    <mergeCell ref="AN115:AO115"/>
    <mergeCell ref="AQ115:AR115"/>
    <mergeCell ref="AT115:AU115"/>
    <mergeCell ref="BD115:BE115"/>
    <mergeCell ref="AK115:AL115"/>
    <mergeCell ref="BJ116:BK116"/>
    <mergeCell ref="BM116:BN116"/>
    <mergeCell ref="BA115:BB115"/>
    <mergeCell ref="BA116:BB116"/>
    <mergeCell ref="BA117:BB117"/>
    <mergeCell ref="AB117:AC117"/>
    <mergeCell ref="AE117:AF117"/>
    <mergeCell ref="AH117:AI117"/>
    <mergeCell ref="BJ117:BK117"/>
    <mergeCell ref="AN117:AO117"/>
    <mergeCell ref="AQ117:AR117"/>
    <mergeCell ref="AT117:AU117"/>
    <mergeCell ref="J117:K117"/>
    <mergeCell ref="M117:N117"/>
    <mergeCell ref="D117:E117"/>
    <mergeCell ref="G117:H117"/>
    <mergeCell ref="P117:Q117"/>
    <mergeCell ref="S117:T117"/>
    <mergeCell ref="BP116:BQ116"/>
    <mergeCell ref="J116:K116"/>
    <mergeCell ref="M116:N116"/>
    <mergeCell ref="D116:E116"/>
    <mergeCell ref="G116:H116"/>
    <mergeCell ref="P116:Q116"/>
    <mergeCell ref="BD116:BE116"/>
    <mergeCell ref="BD117:BE117"/>
    <mergeCell ref="AK116:AL116"/>
    <mergeCell ref="AK117:AL117"/>
    <mergeCell ref="BM117:BN117"/>
    <mergeCell ref="BP117:BQ117"/>
    <mergeCell ref="B119:B120"/>
    <mergeCell ref="J119:K119"/>
    <mergeCell ref="M119:N119"/>
    <mergeCell ref="D119:E119"/>
    <mergeCell ref="G119:H119"/>
    <mergeCell ref="P119:Q119"/>
    <mergeCell ref="BJ118:BK118"/>
    <mergeCell ref="BM118:BN118"/>
    <mergeCell ref="BP118:BQ118"/>
    <mergeCell ref="BY118:BZ118"/>
    <mergeCell ref="AT118:AU118"/>
    <mergeCell ref="AB118:AC118"/>
    <mergeCell ref="AE118:AF118"/>
    <mergeCell ref="AH118:AI118"/>
    <mergeCell ref="S118:T118"/>
    <mergeCell ref="AN118:AO118"/>
    <mergeCell ref="AQ118:AR118"/>
    <mergeCell ref="AH120:AI120"/>
    <mergeCell ref="BJ120:BK120"/>
    <mergeCell ref="AT119:AU119"/>
    <mergeCell ref="J118:K118"/>
    <mergeCell ref="M118:N118"/>
    <mergeCell ref="D118:E118"/>
    <mergeCell ref="G118:H118"/>
    <mergeCell ref="P118:Q118"/>
    <mergeCell ref="BD118:BE118"/>
    <mergeCell ref="AK118:AL118"/>
    <mergeCell ref="BY120:BZ120"/>
    <mergeCell ref="J121:K121"/>
    <mergeCell ref="M121:N121"/>
    <mergeCell ref="D121:E121"/>
    <mergeCell ref="G121:H121"/>
    <mergeCell ref="P121:Q121"/>
    <mergeCell ref="S121:T121"/>
    <mergeCell ref="AT120:AU120"/>
    <mergeCell ref="AB120:AC120"/>
    <mergeCell ref="AE120:AF120"/>
    <mergeCell ref="BM119:BN119"/>
    <mergeCell ref="BP119:BQ119"/>
    <mergeCell ref="BY119:BZ119"/>
    <mergeCell ref="J120:K120"/>
    <mergeCell ref="M120:N120"/>
    <mergeCell ref="D120:E120"/>
    <mergeCell ref="G120:H120"/>
    <mergeCell ref="P120:Q120"/>
    <mergeCell ref="S120:T120"/>
    <mergeCell ref="AH119:AI119"/>
    <mergeCell ref="AY119:AY120"/>
    <mergeCell ref="BJ119:BK119"/>
    <mergeCell ref="D122:E122"/>
    <mergeCell ref="G122:H122"/>
    <mergeCell ref="P122:Q122"/>
    <mergeCell ref="S122:T122"/>
    <mergeCell ref="AB121:AC121"/>
    <mergeCell ref="AE121:AF121"/>
    <mergeCell ref="AH121:AI121"/>
    <mergeCell ref="BJ121:BK121"/>
    <mergeCell ref="AN121:AO121"/>
    <mergeCell ref="AQ121:AR121"/>
    <mergeCell ref="AT121:AU121"/>
    <mergeCell ref="AN119:AO119"/>
    <mergeCell ref="AQ119:AR119"/>
    <mergeCell ref="AN120:AO120"/>
    <mergeCell ref="AQ120:AR120"/>
    <mergeCell ref="BM120:BN120"/>
    <mergeCell ref="BP120:BQ120"/>
    <mergeCell ref="AB119:AC119"/>
    <mergeCell ref="AE119:AF119"/>
    <mergeCell ref="S119:T119"/>
    <mergeCell ref="BM122:BN122"/>
    <mergeCell ref="BP122:BQ122"/>
    <mergeCell ref="BY122:BZ122"/>
    <mergeCell ref="BD119:BE119"/>
    <mergeCell ref="BD120:BE120"/>
    <mergeCell ref="Z119:Z120"/>
    <mergeCell ref="J124:K124"/>
    <mergeCell ref="M124:N124"/>
    <mergeCell ref="D124:E124"/>
    <mergeCell ref="G124:H124"/>
    <mergeCell ref="P124:Q124"/>
    <mergeCell ref="AB122:AC122"/>
    <mergeCell ref="AE122:AF122"/>
    <mergeCell ref="AH122:AI122"/>
    <mergeCell ref="BJ122:BK122"/>
    <mergeCell ref="AN122:AO122"/>
    <mergeCell ref="AQ122:AR122"/>
    <mergeCell ref="AT122:AU122"/>
    <mergeCell ref="BJ124:BK124"/>
    <mergeCell ref="AK122:AL122"/>
    <mergeCell ref="BM124:BN124"/>
    <mergeCell ref="BP124:BQ124"/>
    <mergeCell ref="BY124:BZ124"/>
    <mergeCell ref="AT124:AU124"/>
    <mergeCell ref="BM121:BN121"/>
    <mergeCell ref="BP121:BQ121"/>
    <mergeCell ref="BY121:BZ121"/>
    <mergeCell ref="J122:K122"/>
    <mergeCell ref="M122:N122"/>
    <mergeCell ref="AB124:AC124"/>
    <mergeCell ref="AE124:AF124"/>
    <mergeCell ref="AH124:AI124"/>
    <mergeCell ref="S124:T124"/>
    <mergeCell ref="AN124:AO124"/>
    <mergeCell ref="AQ124:AR124"/>
    <mergeCell ref="BM125:BN125"/>
    <mergeCell ref="BP125:BQ125"/>
    <mergeCell ref="BY125:BZ125"/>
    <mergeCell ref="AK124:AL124"/>
    <mergeCell ref="AK125:AL125"/>
    <mergeCell ref="B126:B127"/>
    <mergeCell ref="J126:K126"/>
    <mergeCell ref="M126:N126"/>
    <mergeCell ref="D126:E126"/>
    <mergeCell ref="G126:H126"/>
    <mergeCell ref="AB125:AC125"/>
    <mergeCell ref="AE125:AF125"/>
    <mergeCell ref="AH125:AI125"/>
    <mergeCell ref="BJ125:BK125"/>
    <mergeCell ref="AN125:AO125"/>
    <mergeCell ref="AQ125:AR125"/>
    <mergeCell ref="AT125:AU125"/>
    <mergeCell ref="J125:K125"/>
    <mergeCell ref="M125:N125"/>
    <mergeCell ref="D125:E125"/>
    <mergeCell ref="G125:H125"/>
    <mergeCell ref="P125:Q125"/>
    <mergeCell ref="BM126:BN126"/>
    <mergeCell ref="BP126:BQ126"/>
    <mergeCell ref="BY126:BZ126"/>
    <mergeCell ref="J127:K127"/>
    <mergeCell ref="M127:N127"/>
    <mergeCell ref="BS127:BT127"/>
    <mergeCell ref="BS128:BT128"/>
    <mergeCell ref="BM128:BN128"/>
    <mergeCell ref="BP128:BQ128"/>
    <mergeCell ref="BY128:BZ128"/>
    <mergeCell ref="BD126:BE126"/>
    <mergeCell ref="AE127:AF127"/>
    <mergeCell ref="AH127:AI127"/>
    <mergeCell ref="BJ127:BK127"/>
    <mergeCell ref="D127:E127"/>
    <mergeCell ref="G127:H127"/>
    <mergeCell ref="P127:Q127"/>
    <mergeCell ref="S127:T127"/>
    <mergeCell ref="AE126:AF126"/>
    <mergeCell ref="AH126:AI126"/>
    <mergeCell ref="AY126:AY127"/>
    <mergeCell ref="BJ126:BK126"/>
    <mergeCell ref="BD127:BE127"/>
    <mergeCell ref="AT126:AU126"/>
    <mergeCell ref="AB126:AC126"/>
    <mergeCell ref="P126:Q126"/>
    <mergeCell ref="S126:T126"/>
    <mergeCell ref="Z126:Z127"/>
    <mergeCell ref="AN126:AO126"/>
    <mergeCell ref="AN127:AO127"/>
    <mergeCell ref="AT128:AU128"/>
    <mergeCell ref="BJ129:BK129"/>
    <mergeCell ref="BM129:BN129"/>
    <mergeCell ref="BD128:BE128"/>
    <mergeCell ref="S129:T129"/>
    <mergeCell ref="BA129:BB129"/>
    <mergeCell ref="BM127:BN127"/>
    <mergeCell ref="BP127:BQ127"/>
    <mergeCell ref="BY127:BZ127"/>
    <mergeCell ref="J128:K128"/>
    <mergeCell ref="M128:N128"/>
    <mergeCell ref="D128:E128"/>
    <mergeCell ref="G128:H128"/>
    <mergeCell ref="P128:Q128"/>
    <mergeCell ref="S128:T128"/>
    <mergeCell ref="AQ127:AR127"/>
    <mergeCell ref="AT127:AU127"/>
    <mergeCell ref="AB127:AC127"/>
    <mergeCell ref="AQ126:AR126"/>
    <mergeCell ref="J131:K131"/>
    <mergeCell ref="M131:N131"/>
    <mergeCell ref="D131:E131"/>
    <mergeCell ref="G131:H131"/>
    <mergeCell ref="P131:Q131"/>
    <mergeCell ref="AB130:AC130"/>
    <mergeCell ref="AE130:AF130"/>
    <mergeCell ref="AH130:AI130"/>
    <mergeCell ref="BJ130:BK130"/>
    <mergeCell ref="AN130:AO130"/>
    <mergeCell ref="AQ130:AR130"/>
    <mergeCell ref="AT130:AU130"/>
    <mergeCell ref="J130:K130"/>
    <mergeCell ref="M130:N130"/>
    <mergeCell ref="D130:E130"/>
    <mergeCell ref="G130:H130"/>
    <mergeCell ref="P130:Q130"/>
    <mergeCell ref="S130:T130"/>
    <mergeCell ref="BJ131:BK131"/>
    <mergeCell ref="AT131:AU131"/>
    <mergeCell ref="J129:K129"/>
    <mergeCell ref="M129:N129"/>
    <mergeCell ref="D129:E129"/>
    <mergeCell ref="G129:H129"/>
    <mergeCell ref="P129:Q129"/>
    <mergeCell ref="AB128:AC128"/>
    <mergeCell ref="AE128:AF128"/>
    <mergeCell ref="AH128:AI128"/>
    <mergeCell ref="BJ128:BK128"/>
    <mergeCell ref="AN128:AO128"/>
    <mergeCell ref="AQ128:AR128"/>
    <mergeCell ref="AB131:AC131"/>
    <mergeCell ref="AE131:AF131"/>
    <mergeCell ref="AH131:AI131"/>
    <mergeCell ref="AN131:AO131"/>
    <mergeCell ref="AQ131:AR131"/>
    <mergeCell ref="BM132:BN132"/>
    <mergeCell ref="BP132:BQ132"/>
    <mergeCell ref="BY132:BZ132"/>
    <mergeCell ref="AN129:AO129"/>
    <mergeCell ref="AQ129:AR129"/>
    <mergeCell ref="BM130:BN130"/>
    <mergeCell ref="BP130:BQ130"/>
    <mergeCell ref="BY130:BZ130"/>
    <mergeCell ref="BS129:BT129"/>
    <mergeCell ref="BS130:BT130"/>
    <mergeCell ref="BS131:BT131"/>
    <mergeCell ref="BS132:BT132"/>
    <mergeCell ref="BD129:BE129"/>
    <mergeCell ref="BD130:BE130"/>
    <mergeCell ref="BD131:BE131"/>
    <mergeCell ref="BA131:BB131"/>
    <mergeCell ref="BP129:BQ129"/>
    <mergeCell ref="BV129:BW129"/>
    <mergeCell ref="BV130:BW130"/>
    <mergeCell ref="BY129:BZ129"/>
    <mergeCell ref="AT129:AU129"/>
    <mergeCell ref="AB129:AC129"/>
    <mergeCell ref="AE129:AF129"/>
    <mergeCell ref="AH129:AI129"/>
    <mergeCell ref="BM131:BN131"/>
    <mergeCell ref="BP131:BQ131"/>
    <mergeCell ref="BY131:BZ131"/>
    <mergeCell ref="J133:K133"/>
    <mergeCell ref="M133:N133"/>
    <mergeCell ref="D133:E133"/>
    <mergeCell ref="G133:H133"/>
    <mergeCell ref="P133:Q133"/>
    <mergeCell ref="AB132:AC132"/>
    <mergeCell ref="AE132:AF132"/>
    <mergeCell ref="AH132:AI132"/>
    <mergeCell ref="BJ132:BK132"/>
    <mergeCell ref="AN132:AO132"/>
    <mergeCell ref="AQ132:AR132"/>
    <mergeCell ref="AT132:AU132"/>
    <mergeCell ref="J132:K132"/>
    <mergeCell ref="M132:N132"/>
    <mergeCell ref="D132:E132"/>
    <mergeCell ref="G132:H132"/>
    <mergeCell ref="P132:Q132"/>
    <mergeCell ref="S132:T132"/>
    <mergeCell ref="BJ133:BK133"/>
    <mergeCell ref="BD132:BE132"/>
    <mergeCell ref="BA132:BB132"/>
    <mergeCell ref="S133:T133"/>
    <mergeCell ref="BM133:BN133"/>
    <mergeCell ref="BP133:BQ133"/>
    <mergeCell ref="BY133:BZ133"/>
    <mergeCell ref="AT133:AU133"/>
    <mergeCell ref="AB133:AC133"/>
    <mergeCell ref="AE133:AF133"/>
    <mergeCell ref="AH133:AI133"/>
    <mergeCell ref="AN133:AO133"/>
    <mergeCell ref="AQ133:AR133"/>
    <mergeCell ref="BM134:BN134"/>
    <mergeCell ref="BP134:BQ134"/>
    <mergeCell ref="BY134:BZ134"/>
    <mergeCell ref="BD133:BE133"/>
    <mergeCell ref="AB134:AC134"/>
    <mergeCell ref="AE134:AF134"/>
    <mergeCell ref="AH134:AI134"/>
    <mergeCell ref="BJ134:BK134"/>
    <mergeCell ref="AN134:AO134"/>
    <mergeCell ref="AQ134:AR134"/>
    <mergeCell ref="AT134:AU134"/>
    <mergeCell ref="BS133:BT133"/>
    <mergeCell ref="BS134:BT134"/>
    <mergeCell ref="BA133:BB133"/>
    <mergeCell ref="J134:K134"/>
    <mergeCell ref="M134:N134"/>
    <mergeCell ref="D134:E134"/>
    <mergeCell ref="G134:H134"/>
    <mergeCell ref="P134:Q134"/>
    <mergeCell ref="S134:T134"/>
    <mergeCell ref="BJ135:BK135"/>
    <mergeCell ref="BD134:BE134"/>
    <mergeCell ref="BM135:BN135"/>
    <mergeCell ref="BP135:BQ135"/>
    <mergeCell ref="BY135:BZ135"/>
    <mergeCell ref="AT135:AU135"/>
    <mergeCell ref="AB135:AC135"/>
    <mergeCell ref="AE135:AF135"/>
    <mergeCell ref="AH135:AI135"/>
    <mergeCell ref="S135:T135"/>
    <mergeCell ref="AN135:AO135"/>
    <mergeCell ref="AQ135:AR135"/>
    <mergeCell ref="BD135:BE135"/>
    <mergeCell ref="J135:K135"/>
    <mergeCell ref="M135:N135"/>
    <mergeCell ref="D135:E135"/>
    <mergeCell ref="G135:H135"/>
    <mergeCell ref="P135:Q135"/>
    <mergeCell ref="BS135:BT135"/>
    <mergeCell ref="BA134:BB134"/>
    <mergeCell ref="BA135:BB135"/>
    <mergeCell ref="BG135:BH135"/>
    <mergeCell ref="G140:H140"/>
    <mergeCell ref="P140:Q140"/>
    <mergeCell ref="S140:T140"/>
    <mergeCell ref="BM136:BN136"/>
    <mergeCell ref="BM138:BN138"/>
    <mergeCell ref="BP138:BQ138"/>
    <mergeCell ref="BY138:BZ138"/>
    <mergeCell ref="BM137:BN137"/>
    <mergeCell ref="AK137:AL137"/>
    <mergeCell ref="AK138:AL138"/>
    <mergeCell ref="BP139:BQ139"/>
    <mergeCell ref="BY139:BZ139"/>
    <mergeCell ref="AT139:AU139"/>
    <mergeCell ref="AB139:AC139"/>
    <mergeCell ref="AE139:AF139"/>
    <mergeCell ref="AH139:AI139"/>
    <mergeCell ref="BJ139:BK139"/>
    <mergeCell ref="BA136:BB136"/>
    <mergeCell ref="BA137:BB137"/>
    <mergeCell ref="BA138:BB138"/>
    <mergeCell ref="BD137:BE137"/>
    <mergeCell ref="BD138:BE138"/>
    <mergeCell ref="BS136:BT136"/>
    <mergeCell ref="BS137:BT137"/>
    <mergeCell ref="BS138:BT138"/>
    <mergeCell ref="BS139:BT139"/>
    <mergeCell ref="BJ137:BK137"/>
    <mergeCell ref="BP137:BQ137"/>
    <mergeCell ref="BY137:BZ137"/>
    <mergeCell ref="AT137:AU137"/>
    <mergeCell ref="AB137:AC137"/>
    <mergeCell ref="AE137:AF137"/>
    <mergeCell ref="J139:K139"/>
    <mergeCell ref="M139:N139"/>
    <mergeCell ref="D139:E139"/>
    <mergeCell ref="G139:H139"/>
    <mergeCell ref="P139:Q139"/>
    <mergeCell ref="BG140:BH140"/>
    <mergeCell ref="BA139:BB139"/>
    <mergeCell ref="BA140:BB140"/>
    <mergeCell ref="BD139:BE139"/>
    <mergeCell ref="BD140:BE140"/>
    <mergeCell ref="AQ137:AR137"/>
    <mergeCell ref="AB138:AC138"/>
    <mergeCell ref="AE138:AF138"/>
    <mergeCell ref="AH138:AI138"/>
    <mergeCell ref="BJ138:BK138"/>
    <mergeCell ref="AN138:AO138"/>
    <mergeCell ref="AQ138:AR138"/>
    <mergeCell ref="AT138:AU138"/>
    <mergeCell ref="J138:K138"/>
    <mergeCell ref="M138:N138"/>
    <mergeCell ref="D138:E138"/>
    <mergeCell ref="G138:H138"/>
    <mergeCell ref="P138:Q138"/>
    <mergeCell ref="S138:T138"/>
    <mergeCell ref="AH140:AI140"/>
    <mergeCell ref="BJ140:BK140"/>
    <mergeCell ref="AN140:AO140"/>
    <mergeCell ref="AQ140:AR140"/>
    <mergeCell ref="AT140:AU140"/>
    <mergeCell ref="J140:K140"/>
    <mergeCell ref="M140:N140"/>
    <mergeCell ref="D140:E140"/>
    <mergeCell ref="BJ141:BK141"/>
    <mergeCell ref="BM141:BN141"/>
    <mergeCell ref="BP141:BQ141"/>
    <mergeCell ref="BY141:BZ141"/>
    <mergeCell ref="AT141:AU141"/>
    <mergeCell ref="AB141:AC141"/>
    <mergeCell ref="AE141:AF141"/>
    <mergeCell ref="AH141:AI141"/>
    <mergeCell ref="S141:T141"/>
    <mergeCell ref="AN141:AO141"/>
    <mergeCell ref="AQ141:AR141"/>
    <mergeCell ref="BM140:BN140"/>
    <mergeCell ref="BP140:BQ140"/>
    <mergeCell ref="BY140:BZ140"/>
    <mergeCell ref="AK141:AL141"/>
    <mergeCell ref="BM139:BN139"/>
    <mergeCell ref="AK139:AL139"/>
    <mergeCell ref="AK140:AL140"/>
    <mergeCell ref="S139:T139"/>
    <mergeCell ref="AN139:AO139"/>
    <mergeCell ref="AQ139:AR139"/>
    <mergeCell ref="J141:K141"/>
    <mergeCell ref="M141:N141"/>
    <mergeCell ref="D141:E141"/>
    <mergeCell ref="BD54:BE54"/>
    <mergeCell ref="BD55:BE55"/>
    <mergeCell ref="BD56:BE56"/>
    <mergeCell ref="BD57:BE57"/>
    <mergeCell ref="BD58:BE58"/>
    <mergeCell ref="G141:H141"/>
    <mergeCell ref="P141:Q141"/>
    <mergeCell ref="AB140:AC140"/>
    <mergeCell ref="AE140:AF140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75:BE75"/>
    <mergeCell ref="BD77:BE77"/>
    <mergeCell ref="BD78:BE78"/>
    <mergeCell ref="BD79:BE79"/>
    <mergeCell ref="BD88:BE88"/>
    <mergeCell ref="BD93:BE93"/>
    <mergeCell ref="BD74:BE74"/>
    <mergeCell ref="BD94:BE94"/>
    <mergeCell ref="BD95:BE95"/>
    <mergeCell ref="BD97:BE97"/>
    <mergeCell ref="BD98:BE98"/>
    <mergeCell ref="BD99:BE99"/>
    <mergeCell ref="BD100:BE100"/>
    <mergeCell ref="BD101:BE101"/>
    <mergeCell ref="BD102:BE102"/>
    <mergeCell ref="BD103:BE103"/>
    <mergeCell ref="BD104:BE104"/>
    <mergeCell ref="BD106:BE106"/>
    <mergeCell ref="BD121:BE121"/>
    <mergeCell ref="BD122:BE122"/>
    <mergeCell ref="BD124:BE124"/>
    <mergeCell ref="BD125:BE125"/>
    <mergeCell ref="BD141:BE141"/>
    <mergeCell ref="BV12:BW12"/>
    <mergeCell ref="BV13:BW13"/>
    <mergeCell ref="BV14:BW14"/>
    <mergeCell ref="BV15:BW15"/>
    <mergeCell ref="BV16:BW16"/>
    <mergeCell ref="BV17:BW17"/>
    <mergeCell ref="BV18:BW18"/>
    <mergeCell ref="BV19:BW19"/>
    <mergeCell ref="BV20:BW20"/>
    <mergeCell ref="BV21:BW21"/>
    <mergeCell ref="BV23:BW23"/>
    <mergeCell ref="BV24:BW24"/>
    <mergeCell ref="BV25:BW25"/>
    <mergeCell ref="BV26:BW26"/>
    <mergeCell ref="BV27:BW27"/>
    <mergeCell ref="BV28:BW28"/>
    <mergeCell ref="BV29:BW29"/>
    <mergeCell ref="BV31:BW31"/>
    <mergeCell ref="BV32:BW32"/>
    <mergeCell ref="BV33:BW33"/>
    <mergeCell ref="BV34:BW34"/>
    <mergeCell ref="BV35:BW35"/>
    <mergeCell ref="BV36:BW36"/>
    <mergeCell ref="BV37:BW37"/>
    <mergeCell ref="BV38:BW38"/>
    <mergeCell ref="BV39:BW39"/>
    <mergeCell ref="BV40:BW40"/>
    <mergeCell ref="BV41:BW41"/>
    <mergeCell ref="BV42:BW42"/>
    <mergeCell ref="BV43:BW43"/>
    <mergeCell ref="BV44:BW44"/>
    <mergeCell ref="BV45:BW45"/>
    <mergeCell ref="BV46:BW46"/>
    <mergeCell ref="BV47:BW47"/>
    <mergeCell ref="BV48:BW48"/>
    <mergeCell ref="BV49:BW49"/>
    <mergeCell ref="BV55:BW55"/>
    <mergeCell ref="BV56:BW56"/>
    <mergeCell ref="BV57:BW57"/>
    <mergeCell ref="BV58:BW58"/>
    <mergeCell ref="BV59:BW59"/>
    <mergeCell ref="BV60:BW60"/>
    <mergeCell ref="BV62:BW62"/>
    <mergeCell ref="BV63:BW63"/>
    <mergeCell ref="BV64:BW64"/>
    <mergeCell ref="BV65:BW65"/>
    <mergeCell ref="BV66:BW66"/>
    <mergeCell ref="BV67:BW67"/>
    <mergeCell ref="BV68:BW68"/>
    <mergeCell ref="BV69:BW69"/>
    <mergeCell ref="BV70:BW70"/>
    <mergeCell ref="BV71:BW71"/>
    <mergeCell ref="BV72:BW72"/>
    <mergeCell ref="BV73:BW73"/>
    <mergeCell ref="BV75:BW75"/>
    <mergeCell ref="BV77:BW77"/>
    <mergeCell ref="BV78:BW78"/>
    <mergeCell ref="BV79:BW79"/>
    <mergeCell ref="BV81:BW81"/>
    <mergeCell ref="BV82:BW82"/>
    <mergeCell ref="BV74:BW74"/>
    <mergeCell ref="BV83:BW83"/>
    <mergeCell ref="BV84:BW84"/>
    <mergeCell ref="BV85:BW85"/>
    <mergeCell ref="BV86:BW86"/>
    <mergeCell ref="BV87:BW87"/>
    <mergeCell ref="BV88:BW88"/>
    <mergeCell ref="BV89:BW89"/>
    <mergeCell ref="BV90:BW90"/>
    <mergeCell ref="BV91:BW91"/>
    <mergeCell ref="BV94:BW94"/>
    <mergeCell ref="BV95:BW95"/>
    <mergeCell ref="BV96:BW96"/>
    <mergeCell ref="BV97:BW97"/>
    <mergeCell ref="BV98:BW98"/>
    <mergeCell ref="BV99:BW99"/>
    <mergeCell ref="BV100:BW100"/>
    <mergeCell ref="BV101:BW101"/>
    <mergeCell ref="BV102:BW102"/>
    <mergeCell ref="BV103:BW103"/>
    <mergeCell ref="BV104:BW104"/>
    <mergeCell ref="BV106:BW106"/>
    <mergeCell ref="BV107:BW107"/>
    <mergeCell ref="BV105:BW105"/>
    <mergeCell ref="BV108:BW108"/>
    <mergeCell ref="BV109:BW109"/>
    <mergeCell ref="BV128:BW128"/>
    <mergeCell ref="BV131:BW131"/>
    <mergeCell ref="BV132:BW132"/>
    <mergeCell ref="BV133:BW133"/>
    <mergeCell ref="BV134:BW134"/>
    <mergeCell ref="BV135:BW135"/>
    <mergeCell ref="BV137:BW137"/>
    <mergeCell ref="BV138:BW138"/>
    <mergeCell ref="BV139:BW139"/>
    <mergeCell ref="BV140:BW140"/>
    <mergeCell ref="BV110:BW110"/>
    <mergeCell ref="BV111:BW111"/>
    <mergeCell ref="BV112:BW112"/>
    <mergeCell ref="BV113:BW113"/>
    <mergeCell ref="BV114:BW114"/>
    <mergeCell ref="BV115:BW115"/>
    <mergeCell ref="BV116:BW116"/>
    <mergeCell ref="BV117:BW117"/>
    <mergeCell ref="BV118:BW118"/>
    <mergeCell ref="BV119:BW119"/>
    <mergeCell ref="BV120:BW120"/>
    <mergeCell ref="BV121:BW121"/>
    <mergeCell ref="BV122:BW122"/>
    <mergeCell ref="BV124:BW124"/>
    <mergeCell ref="BV125:BW125"/>
    <mergeCell ref="BV126:BW126"/>
    <mergeCell ref="BV127:BW127"/>
    <mergeCell ref="BV136:BW136"/>
    <mergeCell ref="AK69:AL69"/>
    <mergeCell ref="AK84:AL84"/>
    <mergeCell ref="AK85:AL85"/>
    <mergeCell ref="AK86:AL86"/>
    <mergeCell ref="AK12:AL12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3:AL23"/>
    <mergeCell ref="AK54:AL54"/>
    <mergeCell ref="AK82:AL82"/>
    <mergeCell ref="AK83:AL83"/>
    <mergeCell ref="AK75:AL75"/>
    <mergeCell ref="AK74:AL74"/>
    <mergeCell ref="AK22:AL22"/>
    <mergeCell ref="AK55:AL55"/>
    <mergeCell ref="AK56:AL56"/>
    <mergeCell ref="AK32:AL32"/>
    <mergeCell ref="AK33:AL33"/>
    <mergeCell ref="AK70:AL70"/>
    <mergeCell ref="AK71:AL71"/>
    <mergeCell ref="AK80:AL80"/>
    <mergeCell ref="AK76:AL76"/>
    <mergeCell ref="AK57:AL57"/>
    <mergeCell ref="AK58:AL58"/>
    <mergeCell ref="AK59:AL59"/>
    <mergeCell ref="AK130:AL130"/>
    <mergeCell ref="AK131:AL131"/>
    <mergeCell ref="AK132:AL132"/>
    <mergeCell ref="AK133:AL133"/>
    <mergeCell ref="AK88:AL88"/>
    <mergeCell ref="AK89:AL89"/>
    <mergeCell ref="AK90:AL90"/>
    <mergeCell ref="AK91:AL91"/>
    <mergeCell ref="AK93:AL93"/>
    <mergeCell ref="AK94:AL94"/>
    <mergeCell ref="AK95:AL95"/>
    <mergeCell ref="AK96:AL96"/>
    <mergeCell ref="AK97:AL97"/>
    <mergeCell ref="AK119:AL119"/>
    <mergeCell ref="AK120:AL120"/>
    <mergeCell ref="AK121:AL121"/>
    <mergeCell ref="AK126:AL126"/>
    <mergeCell ref="AK127:AL127"/>
    <mergeCell ref="AK60:AL60"/>
    <mergeCell ref="AK62:AL62"/>
    <mergeCell ref="AK63:AL63"/>
    <mergeCell ref="AK64:AL64"/>
    <mergeCell ref="AK65:AL65"/>
    <mergeCell ref="BJ146:BK146"/>
    <mergeCell ref="BJ147:BK147"/>
    <mergeCell ref="BJ148:BK148"/>
    <mergeCell ref="BJ149:BK149"/>
    <mergeCell ref="AK134:AL134"/>
    <mergeCell ref="AK135:AL135"/>
    <mergeCell ref="AK128:AL128"/>
    <mergeCell ref="AK129:AL129"/>
    <mergeCell ref="BA78:BB78"/>
    <mergeCell ref="BA79:BB79"/>
    <mergeCell ref="BA80:BB80"/>
    <mergeCell ref="BA81:BB81"/>
    <mergeCell ref="BA82:BB82"/>
    <mergeCell ref="BA83:BB83"/>
    <mergeCell ref="BD76:BE76"/>
    <mergeCell ref="BD80:BE80"/>
    <mergeCell ref="BA88:BB88"/>
    <mergeCell ref="BA89:BB89"/>
    <mergeCell ref="BA90:BB90"/>
    <mergeCell ref="BA93:BB93"/>
    <mergeCell ref="BA94:BB94"/>
    <mergeCell ref="BA95:BB95"/>
    <mergeCell ref="BA96:BB96"/>
    <mergeCell ref="BA97:BB97"/>
    <mergeCell ref="BA98:BB98"/>
    <mergeCell ref="BA99:BB99"/>
    <mergeCell ref="BA100:BB100"/>
    <mergeCell ref="BA17:BB17"/>
    <mergeCell ref="BA14:BB14"/>
    <mergeCell ref="BA13:BB13"/>
    <mergeCell ref="BA15:BB15"/>
    <mergeCell ref="BA16:BB16"/>
    <mergeCell ref="BA18:BB18"/>
    <mergeCell ref="BA19:BB19"/>
    <mergeCell ref="BA20:BB20"/>
    <mergeCell ref="BA21:BB21"/>
    <mergeCell ref="BA22:BB22"/>
    <mergeCell ref="BA23:BB23"/>
    <mergeCell ref="BA24:BB24"/>
    <mergeCell ref="BA25:BB25"/>
    <mergeCell ref="BA26:BB26"/>
    <mergeCell ref="BA27:BB27"/>
    <mergeCell ref="BA28:BB28"/>
    <mergeCell ref="BA29:BB29"/>
    <mergeCell ref="BA126:BB126"/>
    <mergeCell ref="BA127:BB127"/>
    <mergeCell ref="BA128:BB128"/>
    <mergeCell ref="BA57:BB57"/>
    <mergeCell ref="BA58:BB58"/>
    <mergeCell ref="BA59:BB59"/>
    <mergeCell ref="BA60:BB60"/>
    <mergeCell ref="BA62:BB62"/>
    <mergeCell ref="BA63:BB63"/>
    <mergeCell ref="BA64:BB64"/>
    <mergeCell ref="BA65:BB65"/>
    <mergeCell ref="BA68:BB68"/>
    <mergeCell ref="BA69:BB69"/>
    <mergeCell ref="BA70:BB70"/>
    <mergeCell ref="BA71:BB71"/>
    <mergeCell ref="BA74:BB74"/>
    <mergeCell ref="BA75:BB75"/>
    <mergeCell ref="BA76:BB76"/>
    <mergeCell ref="BA77:BB77"/>
    <mergeCell ref="BA86:BB86"/>
    <mergeCell ref="BA141:BB141"/>
    <mergeCell ref="BJ22:BK22"/>
    <mergeCell ref="BJ76:BK76"/>
    <mergeCell ref="BJ80:BK80"/>
    <mergeCell ref="BG4:BH4"/>
    <mergeCell ref="BG24:BH24"/>
    <mergeCell ref="BG25:BH25"/>
    <mergeCell ref="BG26:BH26"/>
    <mergeCell ref="BG27:BH27"/>
    <mergeCell ref="BG28:BH28"/>
    <mergeCell ref="BG29:BH29"/>
    <mergeCell ref="BG31:BH31"/>
    <mergeCell ref="BG32:BH32"/>
    <mergeCell ref="BG33:BH33"/>
    <mergeCell ref="BG34:BH34"/>
    <mergeCell ref="BG35:BH35"/>
    <mergeCell ref="BG36:BH36"/>
    <mergeCell ref="BG53:BH53"/>
    <mergeCell ref="BG93:BH93"/>
    <mergeCell ref="BG54:BH54"/>
    <mergeCell ref="BG55:BH55"/>
    <mergeCell ref="BG56:BH56"/>
    <mergeCell ref="BG57:BH57"/>
    <mergeCell ref="BG58:BH58"/>
    <mergeCell ref="BG59:BH59"/>
    <mergeCell ref="BG60:BH60"/>
    <mergeCell ref="BG64:BH64"/>
    <mergeCell ref="BG65:BH65"/>
    <mergeCell ref="BG66:BH66"/>
    <mergeCell ref="BA105:BB105"/>
    <mergeCell ref="BA87:BB87"/>
    <mergeCell ref="BA106:BB106"/>
    <mergeCell ref="BG141:BH141"/>
    <mergeCell ref="BG110:BH110"/>
    <mergeCell ref="BG111:BH111"/>
    <mergeCell ref="BG112:BH112"/>
    <mergeCell ref="BG113:BH113"/>
    <mergeCell ref="BG114:BH114"/>
    <mergeCell ref="BG115:BH115"/>
    <mergeCell ref="BG116:BH116"/>
    <mergeCell ref="BG117:BH117"/>
    <mergeCell ref="BG118:BH118"/>
    <mergeCell ref="BG119:BH119"/>
    <mergeCell ref="BG120:BH120"/>
    <mergeCell ref="BG121:BH121"/>
    <mergeCell ref="BG122:BH122"/>
    <mergeCell ref="BG124:BH124"/>
    <mergeCell ref="BG125:BH125"/>
    <mergeCell ref="BG75:BH75"/>
    <mergeCell ref="BG76:BH76"/>
    <mergeCell ref="BG77:BH77"/>
    <mergeCell ref="BG78:BH78"/>
    <mergeCell ref="BG79:BH79"/>
    <mergeCell ref="BG80:BH80"/>
    <mergeCell ref="BG81:BH81"/>
    <mergeCell ref="BG82:BH82"/>
    <mergeCell ref="BG86:BH86"/>
    <mergeCell ref="BG87:BH87"/>
    <mergeCell ref="BG88:BH88"/>
    <mergeCell ref="BG89:BH89"/>
    <mergeCell ref="BG90:BH90"/>
    <mergeCell ref="BG133:BH133"/>
    <mergeCell ref="BG136:BH136"/>
    <mergeCell ref="BG137:BH137"/>
    <mergeCell ref="BG138:BH138"/>
    <mergeCell ref="BG139:BH139"/>
    <mergeCell ref="BG94:BH94"/>
    <mergeCell ref="BG95:BH95"/>
    <mergeCell ref="BG96:BH96"/>
    <mergeCell ref="BG97:BH97"/>
    <mergeCell ref="BG98:BH98"/>
    <mergeCell ref="BG99:BH99"/>
    <mergeCell ref="BG100:BH100"/>
    <mergeCell ref="BG101:BH101"/>
    <mergeCell ref="BG102:BH102"/>
    <mergeCell ref="BG103:BH103"/>
    <mergeCell ref="BG104:BH104"/>
    <mergeCell ref="BG105:BH105"/>
    <mergeCell ref="BG106:BH106"/>
    <mergeCell ref="BG107:BH107"/>
    <mergeCell ref="BG108:BH108"/>
    <mergeCell ref="BG109:BH109"/>
    <mergeCell ref="BG126:BH126"/>
    <mergeCell ref="BG127:BH127"/>
    <mergeCell ref="BG134:BH134"/>
    <mergeCell ref="AX1:CA1"/>
    <mergeCell ref="BM76:BN76"/>
    <mergeCell ref="BP76:BQ76"/>
    <mergeCell ref="BP80:BQ80"/>
    <mergeCell ref="BP22:BQ22"/>
    <mergeCell ref="BY22:BZ22"/>
    <mergeCell ref="BV76:BW76"/>
    <mergeCell ref="BV80:BW80"/>
    <mergeCell ref="BY76:BZ76"/>
    <mergeCell ref="BY80:BZ80"/>
    <mergeCell ref="BM80:BN80"/>
    <mergeCell ref="BV22:BW22"/>
    <mergeCell ref="BG128:BH128"/>
    <mergeCell ref="BG129:BH129"/>
    <mergeCell ref="BG130:BH130"/>
    <mergeCell ref="BG131:BH131"/>
    <mergeCell ref="BG132:BH132"/>
    <mergeCell ref="BG69:BH69"/>
    <mergeCell ref="BG70:BH70"/>
    <mergeCell ref="BG74:BH74"/>
    <mergeCell ref="BA130:BB130"/>
    <mergeCell ref="BA109:BB109"/>
    <mergeCell ref="BA112:BB112"/>
    <mergeCell ref="BA113:BB113"/>
    <mergeCell ref="BA114:BB114"/>
    <mergeCell ref="BA118:BB118"/>
    <mergeCell ref="BA119:BB119"/>
    <mergeCell ref="BA120:BB120"/>
    <mergeCell ref="BA121:BB121"/>
    <mergeCell ref="BA122:BB122"/>
    <mergeCell ref="BA124:BB124"/>
    <mergeCell ref="BA125:BB125"/>
  </mergeCells>
  <pageMargins left="0.70866141732283472" right="0.70866141732283472" top="0.35433070866141736" bottom="0.35433070866141736" header="0.31496062992125984" footer="0.31496062992125984"/>
  <pageSetup paperSize="8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E6CC-9E34-48A6-B172-E5592C763B8E}">
  <dimension ref="A1:C253"/>
  <sheetViews>
    <sheetView topLeftCell="A187" workbookViewId="0">
      <selection activeCell="C191" sqref="C191"/>
    </sheetView>
  </sheetViews>
  <sheetFormatPr baseColWidth="10" defaultColWidth="11.42578125" defaultRowHeight="15" x14ac:dyDescent="0.25"/>
  <cols>
    <col min="1" max="1" width="26.42578125" style="40" customWidth="1"/>
    <col min="2" max="2" width="13.28515625" style="40" bestFit="1" customWidth="1"/>
    <col min="3" max="3" width="44.140625" style="40" bestFit="1" customWidth="1"/>
    <col min="4" max="16384" width="11.42578125" style="40"/>
  </cols>
  <sheetData>
    <row r="1" spans="1:3" ht="18.75" x14ac:dyDescent="0.3">
      <c r="A1" s="41" t="s">
        <v>15</v>
      </c>
    </row>
    <row r="2" spans="1:3" ht="15.75" thickBot="1" x14ac:dyDescent="0.3"/>
    <row r="3" spans="1:3" x14ac:dyDescent="0.25">
      <c r="A3" s="42" t="s">
        <v>16</v>
      </c>
      <c r="B3" s="43" t="s">
        <v>0</v>
      </c>
      <c r="C3" s="44"/>
    </row>
    <row r="4" spans="1:3" x14ac:dyDescent="0.25">
      <c r="A4" s="45" t="s">
        <v>17</v>
      </c>
      <c r="B4" s="46" t="s">
        <v>18</v>
      </c>
      <c r="C4" s="47" t="s">
        <v>19</v>
      </c>
    </row>
    <row r="5" spans="1:3" x14ac:dyDescent="0.25">
      <c r="A5" s="45" t="s">
        <v>20</v>
      </c>
      <c r="B5" s="46" t="s">
        <v>21</v>
      </c>
      <c r="C5" s="47" t="s">
        <v>22</v>
      </c>
    </row>
    <row r="6" spans="1:3" x14ac:dyDescent="0.25">
      <c r="A6" s="45" t="s">
        <v>23</v>
      </c>
      <c r="B6" s="46" t="s">
        <v>24</v>
      </c>
      <c r="C6" s="47" t="s">
        <v>25</v>
      </c>
    </row>
    <row r="7" spans="1:3" x14ac:dyDescent="0.25">
      <c r="A7" s="45" t="s">
        <v>26</v>
      </c>
      <c r="B7" s="46" t="s">
        <v>27</v>
      </c>
      <c r="C7" s="47" t="s">
        <v>28</v>
      </c>
    </row>
    <row r="8" spans="1:3" x14ac:dyDescent="0.25">
      <c r="A8" s="45" t="s">
        <v>29</v>
      </c>
      <c r="B8" s="46" t="s">
        <v>30</v>
      </c>
      <c r="C8" s="47" t="s">
        <v>31</v>
      </c>
    </row>
    <row r="9" spans="1:3" x14ac:dyDescent="0.25">
      <c r="A9" s="45" t="s">
        <v>32</v>
      </c>
      <c r="B9" s="46" t="s">
        <v>33</v>
      </c>
      <c r="C9" s="47" t="s">
        <v>34</v>
      </c>
    </row>
    <row r="10" spans="1:3" x14ac:dyDescent="0.25">
      <c r="A10" s="45" t="s">
        <v>35</v>
      </c>
      <c r="B10" s="46" t="s">
        <v>36</v>
      </c>
      <c r="C10" s="47" t="s">
        <v>37</v>
      </c>
    </row>
    <row r="11" spans="1:3" ht="15.75" thickBot="1" x14ac:dyDescent="0.3">
      <c r="A11" s="48"/>
      <c r="B11" s="49"/>
      <c r="C11" s="47"/>
    </row>
    <row r="12" spans="1:3" ht="15.75" thickBot="1" x14ac:dyDescent="0.3"/>
    <row r="13" spans="1:3" x14ac:dyDescent="0.25">
      <c r="A13" s="42" t="s">
        <v>38</v>
      </c>
      <c r="B13" s="43" t="s">
        <v>1</v>
      </c>
      <c r="C13" s="44"/>
    </row>
    <row r="14" spans="1:3" x14ac:dyDescent="0.25">
      <c r="A14" s="45" t="s">
        <v>17</v>
      </c>
      <c r="B14" s="46" t="s">
        <v>36</v>
      </c>
      <c r="C14" s="47" t="s">
        <v>37</v>
      </c>
    </row>
    <row r="15" spans="1:3" x14ac:dyDescent="0.25">
      <c r="A15" s="45" t="s">
        <v>20</v>
      </c>
      <c r="B15" s="46" t="s">
        <v>18</v>
      </c>
      <c r="C15" s="47" t="s">
        <v>19</v>
      </c>
    </row>
    <row r="16" spans="1:3" x14ac:dyDescent="0.25">
      <c r="A16" s="45" t="s">
        <v>23</v>
      </c>
      <c r="B16" s="46" t="s">
        <v>24</v>
      </c>
      <c r="C16" s="47" t="s">
        <v>25</v>
      </c>
    </row>
    <row r="17" spans="1:3" x14ac:dyDescent="0.25">
      <c r="A17" s="45" t="s">
        <v>26</v>
      </c>
      <c r="B17" s="46" t="s">
        <v>39</v>
      </c>
      <c r="C17" s="47" t="s">
        <v>40</v>
      </c>
    </row>
    <row r="18" spans="1:3" x14ac:dyDescent="0.25">
      <c r="A18" s="45" t="s">
        <v>29</v>
      </c>
      <c r="B18" s="46" t="s">
        <v>41</v>
      </c>
      <c r="C18" s="47" t="s">
        <v>42</v>
      </c>
    </row>
    <row r="19" spans="1:3" x14ac:dyDescent="0.25">
      <c r="A19" s="45" t="s">
        <v>32</v>
      </c>
      <c r="B19" s="46" t="s">
        <v>43</v>
      </c>
      <c r="C19" s="47" t="s">
        <v>44</v>
      </c>
    </row>
    <row r="20" spans="1:3" x14ac:dyDescent="0.25">
      <c r="A20" s="45" t="s">
        <v>35</v>
      </c>
      <c r="B20" s="46" t="s">
        <v>45</v>
      </c>
      <c r="C20" s="47" t="s">
        <v>46</v>
      </c>
    </row>
    <row r="21" spans="1:3" ht="15.75" thickBot="1" x14ac:dyDescent="0.3">
      <c r="A21" s="48"/>
      <c r="B21" s="49"/>
      <c r="C21" s="47"/>
    </row>
    <row r="22" spans="1:3" ht="15.75" thickBot="1" x14ac:dyDescent="0.3"/>
    <row r="23" spans="1:3" x14ac:dyDescent="0.25">
      <c r="A23" s="42" t="s">
        <v>47</v>
      </c>
      <c r="B23" s="43" t="s">
        <v>2</v>
      </c>
      <c r="C23" s="44"/>
    </row>
    <row r="24" spans="1:3" x14ac:dyDescent="0.25">
      <c r="A24" s="45" t="s">
        <v>17</v>
      </c>
      <c r="B24" s="46" t="s">
        <v>24</v>
      </c>
      <c r="C24" s="47" t="s">
        <v>25</v>
      </c>
    </row>
    <row r="25" spans="1:3" x14ac:dyDescent="0.25">
      <c r="A25" s="45" t="s">
        <v>20</v>
      </c>
      <c r="B25" s="46" t="s">
        <v>18</v>
      </c>
      <c r="C25" s="47" t="s">
        <v>19</v>
      </c>
    </row>
    <row r="26" spans="1:3" x14ac:dyDescent="0.25">
      <c r="A26" s="45" t="s">
        <v>23</v>
      </c>
      <c r="B26" s="46" t="s">
        <v>45</v>
      </c>
      <c r="C26" s="47" t="s">
        <v>46</v>
      </c>
    </row>
    <row r="27" spans="1:3" x14ac:dyDescent="0.25">
      <c r="A27" s="45" t="s">
        <v>26</v>
      </c>
      <c r="B27" s="46" t="s">
        <v>48</v>
      </c>
      <c r="C27" s="47" t="s">
        <v>49</v>
      </c>
    </row>
    <row r="28" spans="1:3" x14ac:dyDescent="0.25">
      <c r="A28" s="45" t="s">
        <v>29</v>
      </c>
      <c r="B28" s="46" t="s">
        <v>30</v>
      </c>
      <c r="C28" s="47" t="s">
        <v>31</v>
      </c>
    </row>
    <row r="29" spans="1:3" x14ac:dyDescent="0.25">
      <c r="A29" s="45" t="s">
        <v>32</v>
      </c>
      <c r="B29" s="46" t="s">
        <v>33</v>
      </c>
      <c r="C29" s="47" t="s">
        <v>34</v>
      </c>
    </row>
    <row r="30" spans="1:3" x14ac:dyDescent="0.25">
      <c r="A30" s="45" t="s">
        <v>35</v>
      </c>
      <c r="B30" s="46" t="s">
        <v>36</v>
      </c>
      <c r="C30" s="47" t="s">
        <v>37</v>
      </c>
    </row>
    <row r="31" spans="1:3" ht="15.75" thickBot="1" x14ac:dyDescent="0.3">
      <c r="A31" s="48"/>
      <c r="B31" s="49"/>
      <c r="C31" s="47"/>
    </row>
    <row r="32" spans="1:3" ht="15.75" thickBot="1" x14ac:dyDescent="0.3"/>
    <row r="33" spans="1:3" x14ac:dyDescent="0.25">
      <c r="A33" s="42" t="s">
        <v>16</v>
      </c>
      <c r="B33" s="43" t="s">
        <v>3</v>
      </c>
      <c r="C33" s="44"/>
    </row>
    <row r="34" spans="1:3" x14ac:dyDescent="0.25">
      <c r="A34" s="45" t="s">
        <v>17</v>
      </c>
      <c r="B34" s="46" t="s">
        <v>18</v>
      </c>
      <c r="C34" s="47" t="s">
        <v>19</v>
      </c>
    </row>
    <row r="35" spans="1:3" x14ac:dyDescent="0.25">
      <c r="A35" s="45" t="s">
        <v>20</v>
      </c>
      <c r="B35" s="46" t="s">
        <v>21</v>
      </c>
      <c r="C35" s="47" t="s">
        <v>22</v>
      </c>
    </row>
    <row r="36" spans="1:3" x14ac:dyDescent="0.25">
      <c r="A36" s="45" t="s">
        <v>23</v>
      </c>
      <c r="B36" s="46" t="s">
        <v>24</v>
      </c>
      <c r="C36" s="47" t="s">
        <v>25</v>
      </c>
    </row>
    <row r="37" spans="1:3" x14ac:dyDescent="0.25">
      <c r="A37" s="45" t="s">
        <v>26</v>
      </c>
      <c r="B37" s="46" t="s">
        <v>27</v>
      </c>
      <c r="C37" s="47" t="s">
        <v>28</v>
      </c>
    </row>
    <row r="38" spans="1:3" x14ac:dyDescent="0.25">
      <c r="A38" s="45" t="s">
        <v>29</v>
      </c>
      <c r="B38" s="46" t="s">
        <v>41</v>
      </c>
      <c r="C38" s="47" t="s">
        <v>42</v>
      </c>
    </row>
    <row r="39" spans="1:3" x14ac:dyDescent="0.25">
      <c r="A39" s="45" t="s">
        <v>32</v>
      </c>
      <c r="B39" s="46" t="s">
        <v>33</v>
      </c>
      <c r="C39" s="47" t="s">
        <v>34</v>
      </c>
    </row>
    <row r="40" spans="1:3" x14ac:dyDescent="0.25">
      <c r="A40" s="45" t="s">
        <v>35</v>
      </c>
      <c r="B40" s="46" t="s">
        <v>45</v>
      </c>
      <c r="C40" s="47" t="s">
        <v>46</v>
      </c>
    </row>
    <row r="41" spans="1:3" ht="15.75" thickBot="1" x14ac:dyDescent="0.3">
      <c r="A41" s="48"/>
      <c r="B41" s="49"/>
      <c r="C41" s="47"/>
    </row>
    <row r="42" spans="1:3" ht="15.75" thickBot="1" x14ac:dyDescent="0.3"/>
    <row r="43" spans="1:3" x14ac:dyDescent="0.25">
      <c r="A43" s="42" t="s">
        <v>16</v>
      </c>
      <c r="B43" s="43" t="s">
        <v>8</v>
      </c>
      <c r="C43" s="44"/>
    </row>
    <row r="44" spans="1:3" x14ac:dyDescent="0.25">
      <c r="A44" s="45" t="s">
        <v>17</v>
      </c>
      <c r="B44" s="46" t="s">
        <v>18</v>
      </c>
      <c r="C44" s="47" t="s">
        <v>19</v>
      </c>
    </row>
    <row r="45" spans="1:3" x14ac:dyDescent="0.25">
      <c r="A45" s="45" t="s">
        <v>20</v>
      </c>
      <c r="B45" s="46" t="s">
        <v>50</v>
      </c>
      <c r="C45" s="47" t="s">
        <v>51</v>
      </c>
    </row>
    <row r="46" spans="1:3" x14ac:dyDescent="0.25">
      <c r="A46" s="45" t="s">
        <v>23</v>
      </c>
      <c r="B46" s="46" t="s">
        <v>24</v>
      </c>
      <c r="C46" s="47" t="s">
        <v>25</v>
      </c>
    </row>
    <row r="47" spans="1:3" x14ac:dyDescent="0.25">
      <c r="A47" s="45" t="s">
        <v>26</v>
      </c>
      <c r="B47" s="46" t="s">
        <v>52</v>
      </c>
      <c r="C47" s="47" t="s">
        <v>53</v>
      </c>
    </row>
    <row r="48" spans="1:3" x14ac:dyDescent="0.25">
      <c r="A48" s="45" t="s">
        <v>29</v>
      </c>
      <c r="B48" s="46" t="s">
        <v>41</v>
      </c>
      <c r="C48" s="47" t="s">
        <v>42</v>
      </c>
    </row>
    <row r="49" spans="1:3" x14ac:dyDescent="0.25">
      <c r="A49" s="45" t="s">
        <v>32</v>
      </c>
      <c r="B49" s="46" t="s">
        <v>43</v>
      </c>
      <c r="C49" s="47" t="s">
        <v>44</v>
      </c>
    </row>
    <row r="50" spans="1:3" x14ac:dyDescent="0.25">
      <c r="A50" s="45" t="s">
        <v>35</v>
      </c>
      <c r="B50" s="46" t="s">
        <v>45</v>
      </c>
      <c r="C50" s="47" t="s">
        <v>46</v>
      </c>
    </row>
    <row r="51" spans="1:3" ht="15.75" thickBot="1" x14ac:dyDescent="0.3">
      <c r="A51" s="48" t="s">
        <v>54</v>
      </c>
      <c r="B51" s="49" t="s">
        <v>45</v>
      </c>
      <c r="C51" s="47" t="s">
        <v>46</v>
      </c>
    </row>
    <row r="52" spans="1:3" ht="15.75" thickBot="1" x14ac:dyDescent="0.3"/>
    <row r="53" spans="1:3" x14ac:dyDescent="0.25">
      <c r="A53" s="42" t="s">
        <v>38</v>
      </c>
      <c r="B53" s="43" t="s">
        <v>9</v>
      </c>
      <c r="C53" s="44"/>
    </row>
    <row r="54" spans="1:3" x14ac:dyDescent="0.25">
      <c r="A54" s="45" t="s">
        <v>17</v>
      </c>
      <c r="B54" s="46" t="s">
        <v>24</v>
      </c>
      <c r="C54" s="47" t="s">
        <v>25</v>
      </c>
    </row>
    <row r="55" spans="1:3" x14ac:dyDescent="0.25">
      <c r="A55" s="45" t="s">
        <v>20</v>
      </c>
      <c r="B55" s="46" t="s">
        <v>18</v>
      </c>
      <c r="C55" s="47" t="s">
        <v>19</v>
      </c>
    </row>
    <row r="56" spans="1:3" x14ac:dyDescent="0.25">
      <c r="A56" s="45" t="s">
        <v>23</v>
      </c>
      <c r="B56" s="46" t="s">
        <v>45</v>
      </c>
      <c r="C56" s="47" t="s">
        <v>46</v>
      </c>
    </row>
    <row r="57" spans="1:3" x14ac:dyDescent="0.25">
      <c r="A57" s="45" t="s">
        <v>26</v>
      </c>
      <c r="B57" s="46" t="s">
        <v>27</v>
      </c>
      <c r="C57" s="47" t="s">
        <v>28</v>
      </c>
    </row>
    <row r="58" spans="1:3" x14ac:dyDescent="0.25">
      <c r="A58" s="45" t="s">
        <v>29</v>
      </c>
      <c r="B58" s="46" t="s">
        <v>41</v>
      </c>
      <c r="C58" s="47" t="s">
        <v>42</v>
      </c>
    </row>
    <row r="59" spans="1:3" x14ac:dyDescent="0.25">
      <c r="A59" s="45" t="s">
        <v>32</v>
      </c>
      <c r="B59" s="46" t="s">
        <v>33</v>
      </c>
      <c r="C59" s="47" t="s">
        <v>34</v>
      </c>
    </row>
    <row r="60" spans="1:3" x14ac:dyDescent="0.25">
      <c r="A60" s="45" t="s">
        <v>35</v>
      </c>
      <c r="B60" s="46" t="s">
        <v>36</v>
      </c>
      <c r="C60" s="47" t="s">
        <v>37</v>
      </c>
    </row>
    <row r="61" spans="1:3" ht="15.75" thickBot="1" x14ac:dyDescent="0.3">
      <c r="A61" s="48" t="s">
        <v>54</v>
      </c>
      <c r="B61" s="49" t="s">
        <v>18</v>
      </c>
      <c r="C61" s="47" t="s">
        <v>19</v>
      </c>
    </row>
    <row r="62" spans="1:3" ht="15.75" thickBot="1" x14ac:dyDescent="0.3"/>
    <row r="63" spans="1:3" x14ac:dyDescent="0.25">
      <c r="A63" s="42" t="s">
        <v>47</v>
      </c>
      <c r="B63" s="43" t="s">
        <v>10</v>
      </c>
      <c r="C63" s="44"/>
    </row>
    <row r="64" spans="1:3" x14ac:dyDescent="0.25">
      <c r="A64" s="45" t="s">
        <v>17</v>
      </c>
      <c r="B64" s="46" t="s">
        <v>36</v>
      </c>
      <c r="C64" s="47" t="s">
        <v>37</v>
      </c>
    </row>
    <row r="65" spans="1:3" x14ac:dyDescent="0.25">
      <c r="A65" s="45" t="s">
        <v>20</v>
      </c>
      <c r="B65" s="46" t="s">
        <v>18</v>
      </c>
      <c r="C65" s="47" t="s">
        <v>19</v>
      </c>
    </row>
    <row r="66" spans="1:3" x14ac:dyDescent="0.25">
      <c r="A66" s="45" t="s">
        <v>23</v>
      </c>
      <c r="B66" s="46" t="s">
        <v>24</v>
      </c>
      <c r="C66" s="47" t="s">
        <v>25</v>
      </c>
    </row>
    <row r="67" spans="1:3" x14ac:dyDescent="0.25">
      <c r="A67" s="45" t="s">
        <v>26</v>
      </c>
      <c r="B67" s="46" t="s">
        <v>39</v>
      </c>
      <c r="C67" s="47" t="s">
        <v>40</v>
      </c>
    </row>
    <row r="68" spans="1:3" x14ac:dyDescent="0.25">
      <c r="A68" s="45" t="s">
        <v>29</v>
      </c>
      <c r="B68" s="46" t="s">
        <v>41</v>
      </c>
      <c r="C68" s="47" t="s">
        <v>42</v>
      </c>
    </row>
    <row r="69" spans="1:3" x14ac:dyDescent="0.25">
      <c r="A69" s="45" t="s">
        <v>32</v>
      </c>
      <c r="B69" s="46" t="s">
        <v>33</v>
      </c>
      <c r="C69" s="47" t="s">
        <v>34</v>
      </c>
    </row>
    <row r="70" spans="1:3" x14ac:dyDescent="0.25">
      <c r="A70" s="45" t="s">
        <v>35</v>
      </c>
      <c r="B70" s="46" t="s">
        <v>55</v>
      </c>
      <c r="C70" s="47" t="s">
        <v>56</v>
      </c>
    </row>
    <row r="71" spans="1:3" ht="15.75" thickBot="1" x14ac:dyDescent="0.3">
      <c r="A71" s="48" t="s">
        <v>54</v>
      </c>
      <c r="B71" s="49" t="s">
        <v>24</v>
      </c>
      <c r="C71" s="47" t="s">
        <v>25</v>
      </c>
    </row>
    <row r="72" spans="1:3" ht="15.75" thickBot="1" x14ac:dyDescent="0.3"/>
    <row r="73" spans="1:3" x14ac:dyDescent="0.25">
      <c r="A73" s="42" t="s">
        <v>57</v>
      </c>
      <c r="B73" s="43" t="s">
        <v>11</v>
      </c>
      <c r="C73" s="44"/>
    </row>
    <row r="74" spans="1:3" x14ac:dyDescent="0.25">
      <c r="A74" s="45" t="s">
        <v>17</v>
      </c>
      <c r="B74" s="46" t="s">
        <v>58</v>
      </c>
      <c r="C74" s="47" t="s">
        <v>59</v>
      </c>
    </row>
    <row r="75" spans="1:3" x14ac:dyDescent="0.25">
      <c r="A75" s="45" t="s">
        <v>20</v>
      </c>
      <c r="B75" s="46" t="s">
        <v>50</v>
      </c>
      <c r="C75" s="47" t="s">
        <v>51</v>
      </c>
    </row>
    <row r="76" spans="1:3" x14ac:dyDescent="0.25">
      <c r="A76" s="45" t="s">
        <v>23</v>
      </c>
      <c r="B76" s="46" t="s">
        <v>18</v>
      </c>
      <c r="C76" s="47" t="s">
        <v>19</v>
      </c>
    </row>
    <row r="77" spans="1:3" x14ac:dyDescent="0.25">
      <c r="A77" s="45" t="s">
        <v>26</v>
      </c>
      <c r="B77" s="46" t="s">
        <v>60</v>
      </c>
      <c r="C77" s="47" t="s">
        <v>61</v>
      </c>
    </row>
    <row r="78" spans="1:3" x14ac:dyDescent="0.25">
      <c r="A78" s="45" t="s">
        <v>29</v>
      </c>
      <c r="B78" s="46" t="s">
        <v>30</v>
      </c>
      <c r="C78" s="47" t="s">
        <v>31</v>
      </c>
    </row>
    <row r="79" spans="1:3" x14ac:dyDescent="0.25">
      <c r="A79" s="45" t="s">
        <v>32</v>
      </c>
      <c r="B79" s="46" t="s">
        <v>43</v>
      </c>
      <c r="C79" s="47" t="s">
        <v>44</v>
      </c>
    </row>
    <row r="80" spans="1:3" x14ac:dyDescent="0.25">
      <c r="A80" s="45" t="s">
        <v>35</v>
      </c>
      <c r="B80" s="46" t="s">
        <v>36</v>
      </c>
      <c r="C80" s="47" t="s">
        <v>37</v>
      </c>
    </row>
    <row r="81" spans="1:3" ht="15.75" thickBot="1" x14ac:dyDescent="0.3">
      <c r="A81" s="48" t="s">
        <v>54</v>
      </c>
      <c r="B81" s="49" t="s">
        <v>36</v>
      </c>
      <c r="C81" s="47" t="s">
        <v>37</v>
      </c>
    </row>
    <row r="82" spans="1:3" ht="15.75" thickBot="1" x14ac:dyDescent="0.3">
      <c r="A82" s="50"/>
      <c r="B82" s="51"/>
      <c r="C82" s="51"/>
    </row>
    <row r="83" spans="1:3" x14ac:dyDescent="0.25">
      <c r="A83" s="42" t="s">
        <v>57</v>
      </c>
      <c r="B83" s="43" t="s">
        <v>14</v>
      </c>
      <c r="C83" s="44"/>
    </row>
    <row r="84" spans="1:3" x14ac:dyDescent="0.25">
      <c r="A84" s="45" t="s">
        <v>17</v>
      </c>
      <c r="B84" s="46" t="s">
        <v>58</v>
      </c>
      <c r="C84" s="47" t="s">
        <v>59</v>
      </c>
    </row>
    <row r="85" spans="1:3" x14ac:dyDescent="0.25">
      <c r="A85" s="45" t="s">
        <v>20</v>
      </c>
      <c r="B85" s="46" t="s">
        <v>62</v>
      </c>
      <c r="C85" s="47" t="s">
        <v>63</v>
      </c>
    </row>
    <row r="86" spans="1:3" x14ac:dyDescent="0.25">
      <c r="A86" s="45" t="s">
        <v>23</v>
      </c>
      <c r="B86" s="46" t="s">
        <v>64</v>
      </c>
      <c r="C86" s="47" t="s">
        <v>65</v>
      </c>
    </row>
    <row r="87" spans="1:3" x14ac:dyDescent="0.25">
      <c r="A87" s="45" t="s">
        <v>26</v>
      </c>
      <c r="B87" s="52" t="s">
        <v>60</v>
      </c>
      <c r="C87" s="47" t="s">
        <v>61</v>
      </c>
    </row>
    <row r="88" spans="1:3" x14ac:dyDescent="0.25">
      <c r="A88" s="45" t="s">
        <v>29</v>
      </c>
      <c r="B88" s="46" t="s">
        <v>30</v>
      </c>
      <c r="C88" s="47" t="s">
        <v>31</v>
      </c>
    </row>
    <row r="89" spans="1:3" x14ac:dyDescent="0.25">
      <c r="A89" s="45" t="s">
        <v>32</v>
      </c>
      <c r="B89" s="46" t="s">
        <v>33</v>
      </c>
      <c r="C89" s="47" t="s">
        <v>34</v>
      </c>
    </row>
    <row r="90" spans="1:3" x14ac:dyDescent="0.25">
      <c r="A90" s="45" t="s">
        <v>35</v>
      </c>
      <c r="B90" s="46" t="s">
        <v>66</v>
      </c>
      <c r="C90" s="47" t="s">
        <v>67</v>
      </c>
    </row>
    <row r="91" spans="1:3" ht="15.75" thickBot="1" x14ac:dyDescent="0.3">
      <c r="A91" s="48" t="s">
        <v>54</v>
      </c>
      <c r="B91" s="49" t="s">
        <v>64</v>
      </c>
      <c r="C91" s="47" t="s">
        <v>65</v>
      </c>
    </row>
    <row r="92" spans="1:3" ht="15.75" thickBot="1" x14ac:dyDescent="0.3"/>
    <row r="93" spans="1:3" x14ac:dyDescent="0.25">
      <c r="A93" s="42" t="s">
        <v>68</v>
      </c>
      <c r="B93" s="43" t="s">
        <v>69</v>
      </c>
      <c r="C93" s="44"/>
    </row>
    <row r="94" spans="1:3" x14ac:dyDescent="0.25">
      <c r="A94" s="45" t="s">
        <v>70</v>
      </c>
      <c r="B94" s="46" t="s">
        <v>45</v>
      </c>
      <c r="C94" s="47" t="s">
        <v>46</v>
      </c>
    </row>
    <row r="95" spans="1:3" x14ac:dyDescent="0.25">
      <c r="A95" s="45" t="s">
        <v>71</v>
      </c>
      <c r="B95" s="46" t="s">
        <v>72</v>
      </c>
      <c r="C95" s="47" t="s">
        <v>73</v>
      </c>
    </row>
    <row r="96" spans="1:3" x14ac:dyDescent="0.25">
      <c r="A96" s="45" t="s">
        <v>74</v>
      </c>
      <c r="B96" s="46" t="s">
        <v>36</v>
      </c>
      <c r="C96" s="47" t="s">
        <v>37</v>
      </c>
    </row>
    <row r="97" spans="1:3" x14ac:dyDescent="0.25">
      <c r="A97" s="45" t="s">
        <v>26</v>
      </c>
      <c r="B97" s="46" t="s">
        <v>60</v>
      </c>
      <c r="C97" s="47" t="s">
        <v>61</v>
      </c>
    </row>
    <row r="98" spans="1:3" x14ac:dyDescent="0.25">
      <c r="A98" s="45" t="s">
        <v>17</v>
      </c>
      <c r="B98" s="46" t="s">
        <v>36</v>
      </c>
      <c r="C98" s="47" t="s">
        <v>37</v>
      </c>
    </row>
    <row r="99" spans="1:3" x14ac:dyDescent="0.25">
      <c r="A99" s="45" t="s">
        <v>29</v>
      </c>
      <c r="B99" s="46" t="s">
        <v>41</v>
      </c>
      <c r="C99" s="47" t="s">
        <v>75</v>
      </c>
    </row>
    <row r="100" spans="1:3" x14ac:dyDescent="0.25">
      <c r="A100" s="45" t="s">
        <v>32</v>
      </c>
      <c r="B100" s="46" t="s">
        <v>33</v>
      </c>
      <c r="C100" s="47" t="s">
        <v>34</v>
      </c>
    </row>
    <row r="101" spans="1:3" ht="15.75" thickBot="1" x14ac:dyDescent="0.3"/>
    <row r="102" spans="1:3" x14ac:dyDescent="0.25">
      <c r="A102" s="42" t="s">
        <v>76</v>
      </c>
      <c r="B102" s="43" t="s">
        <v>77</v>
      </c>
      <c r="C102" s="44"/>
    </row>
    <row r="103" spans="1:3" x14ac:dyDescent="0.25">
      <c r="A103" s="45" t="s">
        <v>70</v>
      </c>
      <c r="B103" s="46" t="s">
        <v>24</v>
      </c>
      <c r="C103" s="47" t="s">
        <v>25</v>
      </c>
    </row>
    <row r="104" spans="1:3" x14ac:dyDescent="0.25">
      <c r="A104" s="45" t="s">
        <v>71</v>
      </c>
      <c r="B104" s="46" t="s">
        <v>78</v>
      </c>
      <c r="C104" s="47"/>
    </row>
    <row r="105" spans="1:3" x14ac:dyDescent="0.25">
      <c r="A105" s="45" t="s">
        <v>74</v>
      </c>
      <c r="B105" s="46" t="s">
        <v>36</v>
      </c>
      <c r="C105" s="47" t="s">
        <v>37</v>
      </c>
    </row>
    <row r="106" spans="1:3" x14ac:dyDescent="0.25">
      <c r="A106" s="45" t="s">
        <v>26</v>
      </c>
      <c r="B106" s="46" t="s">
        <v>52</v>
      </c>
      <c r="C106" s="47" t="s">
        <v>53</v>
      </c>
    </row>
    <row r="107" spans="1:3" x14ac:dyDescent="0.25">
      <c r="A107" s="45" t="s">
        <v>17</v>
      </c>
      <c r="B107" s="46" t="s">
        <v>36</v>
      </c>
      <c r="C107" s="47" t="s">
        <v>37</v>
      </c>
    </row>
    <row r="108" spans="1:3" x14ac:dyDescent="0.25">
      <c r="A108" s="45" t="s">
        <v>29</v>
      </c>
      <c r="B108" s="46" t="s">
        <v>30</v>
      </c>
      <c r="C108" s="47" t="s">
        <v>31</v>
      </c>
    </row>
    <row r="109" spans="1:3" x14ac:dyDescent="0.25">
      <c r="A109" s="45" t="s">
        <v>32</v>
      </c>
      <c r="B109" s="46" t="s">
        <v>43</v>
      </c>
      <c r="C109" s="47" t="s">
        <v>44</v>
      </c>
    </row>
    <row r="110" spans="1:3" ht="15.75" thickBot="1" x14ac:dyDescent="0.3">
      <c r="A110" s="53" t="s">
        <v>54</v>
      </c>
      <c r="B110" s="49" t="s">
        <v>24</v>
      </c>
      <c r="C110" s="47" t="s">
        <v>25</v>
      </c>
    </row>
    <row r="111" spans="1:3" ht="15.75" thickBot="1" x14ac:dyDescent="0.3"/>
    <row r="112" spans="1:3" x14ac:dyDescent="0.25">
      <c r="A112" s="42" t="s">
        <v>16</v>
      </c>
      <c r="B112" s="43" t="s">
        <v>79</v>
      </c>
      <c r="C112" s="44"/>
    </row>
    <row r="113" spans="1:3" x14ac:dyDescent="0.25">
      <c r="A113" s="45" t="s">
        <v>70</v>
      </c>
      <c r="B113" s="46" t="s">
        <v>80</v>
      </c>
      <c r="C113" s="47" t="s">
        <v>81</v>
      </c>
    </row>
    <row r="114" spans="1:3" x14ac:dyDescent="0.25">
      <c r="A114" s="45" t="s">
        <v>71</v>
      </c>
      <c r="B114" s="46" t="s">
        <v>78</v>
      </c>
      <c r="C114" s="47"/>
    </row>
    <row r="115" spans="1:3" x14ac:dyDescent="0.25">
      <c r="A115" s="45" t="s">
        <v>74</v>
      </c>
      <c r="B115" s="46" t="s">
        <v>36</v>
      </c>
      <c r="C115" s="47" t="s">
        <v>37</v>
      </c>
    </row>
    <row r="116" spans="1:3" x14ac:dyDescent="0.25">
      <c r="A116" s="45" t="s">
        <v>26</v>
      </c>
      <c r="B116" s="46" t="s">
        <v>27</v>
      </c>
      <c r="C116" s="47" t="s">
        <v>28</v>
      </c>
    </row>
    <row r="117" spans="1:3" x14ac:dyDescent="0.25">
      <c r="A117" s="45" t="s">
        <v>17</v>
      </c>
      <c r="B117" s="46" t="s">
        <v>36</v>
      </c>
      <c r="C117" s="47" t="s">
        <v>37</v>
      </c>
    </row>
    <row r="118" spans="1:3" x14ac:dyDescent="0.25">
      <c r="A118" s="45" t="s">
        <v>29</v>
      </c>
      <c r="B118" s="46" t="s">
        <v>41</v>
      </c>
      <c r="C118" s="47" t="s">
        <v>42</v>
      </c>
    </row>
    <row r="119" spans="1:3" x14ac:dyDescent="0.25">
      <c r="A119" s="45" t="s">
        <v>32</v>
      </c>
      <c r="B119" s="46" t="s">
        <v>33</v>
      </c>
      <c r="C119" s="47" t="s">
        <v>34</v>
      </c>
    </row>
    <row r="120" spans="1:3" ht="15.75" thickBot="1" x14ac:dyDescent="0.3">
      <c r="A120" s="54" t="s">
        <v>54</v>
      </c>
      <c r="B120" s="49" t="s">
        <v>80</v>
      </c>
      <c r="C120" s="47" t="s">
        <v>81</v>
      </c>
    </row>
    <row r="121" spans="1:3" ht="15.75" thickBot="1" x14ac:dyDescent="0.3"/>
    <row r="122" spans="1:3" x14ac:dyDescent="0.25">
      <c r="A122" s="42" t="s">
        <v>57</v>
      </c>
      <c r="B122" s="43" t="s">
        <v>82</v>
      </c>
      <c r="C122" s="44"/>
    </row>
    <row r="123" spans="1:3" x14ac:dyDescent="0.25">
      <c r="A123" s="45" t="s">
        <v>26</v>
      </c>
      <c r="B123" s="46" t="s">
        <v>83</v>
      </c>
      <c r="C123" s="47" t="s">
        <v>84</v>
      </c>
    </row>
    <row r="124" spans="1:3" x14ac:dyDescent="0.25">
      <c r="A124" s="45" t="s">
        <v>32</v>
      </c>
      <c r="B124" s="46" t="s">
        <v>43</v>
      </c>
      <c r="C124" s="47" t="s">
        <v>44</v>
      </c>
    </row>
    <row r="125" spans="1:3" x14ac:dyDescent="0.25">
      <c r="A125" s="45" t="s">
        <v>29</v>
      </c>
      <c r="B125" s="46" t="s">
        <v>85</v>
      </c>
      <c r="C125" s="47" t="s">
        <v>86</v>
      </c>
    </row>
    <row r="126" spans="1:3" x14ac:dyDescent="0.25">
      <c r="A126" s="45" t="s">
        <v>87</v>
      </c>
      <c r="B126" s="46" t="s">
        <v>88</v>
      </c>
      <c r="C126" s="47" t="s">
        <v>89</v>
      </c>
    </row>
    <row r="127" spans="1:3" x14ac:dyDescent="0.25">
      <c r="A127" s="45" t="s">
        <v>90</v>
      </c>
      <c r="B127" s="46" t="s">
        <v>91</v>
      </c>
      <c r="C127" s="47" t="s">
        <v>92</v>
      </c>
    </row>
    <row r="128" spans="1:3" x14ac:dyDescent="0.25">
      <c r="A128" s="45" t="s">
        <v>93</v>
      </c>
      <c r="B128" s="46" t="s">
        <v>94</v>
      </c>
      <c r="C128" s="47" t="s">
        <v>95</v>
      </c>
    </row>
    <row r="129" spans="1:3" x14ac:dyDescent="0.25">
      <c r="A129" s="45" t="s">
        <v>96</v>
      </c>
      <c r="B129" s="46" t="s">
        <v>97</v>
      </c>
      <c r="C129" s="47" t="s">
        <v>98</v>
      </c>
    </row>
    <row r="130" spans="1:3" x14ac:dyDescent="0.25">
      <c r="A130" s="55" t="s">
        <v>99</v>
      </c>
      <c r="B130" s="56" t="s">
        <v>58</v>
      </c>
      <c r="C130" s="47" t="s">
        <v>59</v>
      </c>
    </row>
    <row r="131" spans="1:3" ht="15.75" thickBot="1" x14ac:dyDescent="0.3">
      <c r="A131" s="54" t="s">
        <v>54</v>
      </c>
      <c r="B131" s="49"/>
      <c r="C131" s="47"/>
    </row>
    <row r="132" spans="1:3" ht="15.75" thickBot="1" x14ac:dyDescent="0.3"/>
    <row r="133" spans="1:3" x14ac:dyDescent="0.25">
      <c r="A133" s="42" t="s">
        <v>16</v>
      </c>
      <c r="B133" s="43" t="s">
        <v>12</v>
      </c>
      <c r="C133" s="44" t="s">
        <v>100</v>
      </c>
    </row>
    <row r="134" spans="1:3" x14ac:dyDescent="0.25">
      <c r="A134" s="45" t="s">
        <v>101</v>
      </c>
      <c r="B134" s="46" t="s">
        <v>24</v>
      </c>
      <c r="C134" s="47" t="s">
        <v>25</v>
      </c>
    </row>
    <row r="135" spans="1:3" x14ac:dyDescent="0.25">
      <c r="A135" s="45" t="s">
        <v>102</v>
      </c>
      <c r="B135" s="46" t="s">
        <v>58</v>
      </c>
      <c r="C135" s="47" t="s">
        <v>59</v>
      </c>
    </row>
    <row r="136" spans="1:3" x14ac:dyDescent="0.25">
      <c r="A136" s="45" t="s">
        <v>103</v>
      </c>
      <c r="B136" s="46" t="s">
        <v>36</v>
      </c>
      <c r="C136" s="47" t="s">
        <v>37</v>
      </c>
    </row>
    <row r="137" spans="1:3" x14ac:dyDescent="0.25">
      <c r="A137" s="45" t="s">
        <v>71</v>
      </c>
      <c r="B137" s="46" t="s">
        <v>78</v>
      </c>
      <c r="C137" s="47" t="s">
        <v>105</v>
      </c>
    </row>
    <row r="138" spans="1:3" x14ac:dyDescent="0.25">
      <c r="A138" s="45"/>
      <c r="B138" s="46"/>
      <c r="C138" s="47"/>
    </row>
    <row r="139" spans="1:3" x14ac:dyDescent="0.25">
      <c r="A139" s="45"/>
      <c r="B139" s="46"/>
      <c r="C139" s="47"/>
    </row>
    <row r="140" spans="1:3" ht="15.75" thickBot="1" x14ac:dyDescent="0.3">
      <c r="A140" s="53"/>
      <c r="B140" s="49"/>
      <c r="C140" s="47"/>
    </row>
    <row r="141" spans="1:3" ht="15.75" thickBot="1" x14ac:dyDescent="0.3"/>
    <row r="142" spans="1:3" x14ac:dyDescent="0.25">
      <c r="A142" s="42" t="s">
        <v>106</v>
      </c>
      <c r="B142" s="43" t="s">
        <v>13</v>
      </c>
      <c r="C142" s="44" t="s">
        <v>100</v>
      </c>
    </row>
    <row r="143" spans="1:3" x14ac:dyDescent="0.25">
      <c r="A143" s="45" t="s">
        <v>101</v>
      </c>
      <c r="B143" s="46" t="s">
        <v>107</v>
      </c>
      <c r="C143" s="47" t="s">
        <v>108</v>
      </c>
    </row>
    <row r="144" spans="1:3" x14ac:dyDescent="0.25">
      <c r="A144" s="45" t="s">
        <v>102</v>
      </c>
      <c r="B144" s="46" t="s">
        <v>58</v>
      </c>
      <c r="C144" s="47" t="s">
        <v>59</v>
      </c>
    </row>
    <row r="145" spans="1:3" x14ac:dyDescent="0.25">
      <c r="A145" s="45" t="s">
        <v>103</v>
      </c>
      <c r="B145" s="46" t="s">
        <v>66</v>
      </c>
      <c r="C145" s="47" t="s">
        <v>67</v>
      </c>
    </row>
    <row r="146" spans="1:3" x14ac:dyDescent="0.25">
      <c r="A146" s="45" t="s">
        <v>71</v>
      </c>
      <c r="B146" s="46" t="s">
        <v>104</v>
      </c>
      <c r="C146" s="47" t="s">
        <v>105</v>
      </c>
    </row>
    <row r="147" spans="1:3" x14ac:dyDescent="0.25">
      <c r="A147" s="45"/>
      <c r="B147" s="46"/>
      <c r="C147" s="47"/>
    </row>
    <row r="148" spans="1:3" x14ac:dyDescent="0.25">
      <c r="A148" s="45"/>
      <c r="B148" s="46"/>
      <c r="C148" s="47"/>
    </row>
    <row r="149" spans="1:3" ht="15.75" thickBot="1" x14ac:dyDescent="0.3">
      <c r="A149" s="53"/>
      <c r="B149" s="49"/>
      <c r="C149" s="47"/>
    </row>
    <row r="150" spans="1:3" ht="15.75" thickBot="1" x14ac:dyDescent="0.3"/>
    <row r="151" spans="1:3" x14ac:dyDescent="0.25">
      <c r="A151" s="42" t="s">
        <v>57</v>
      </c>
      <c r="B151" s="57" t="s">
        <v>109</v>
      </c>
      <c r="C151" s="44" t="s">
        <v>100</v>
      </c>
    </row>
    <row r="152" spans="1:3" x14ac:dyDescent="0.25">
      <c r="A152" s="45" t="s">
        <v>110</v>
      </c>
      <c r="B152" s="58" t="s">
        <v>33</v>
      </c>
      <c r="C152" s="47" t="s">
        <v>34</v>
      </c>
    </row>
    <row r="153" spans="1:3" x14ac:dyDescent="0.25">
      <c r="A153" s="45" t="s">
        <v>29</v>
      </c>
      <c r="B153" s="58" t="s">
        <v>111</v>
      </c>
      <c r="C153" s="47" t="s">
        <v>112</v>
      </c>
    </row>
    <row r="154" spans="1:3" x14ac:dyDescent="0.25">
      <c r="A154" s="45" t="s">
        <v>113</v>
      </c>
      <c r="B154" s="58" t="s">
        <v>114</v>
      </c>
      <c r="C154" s="47" t="s">
        <v>115</v>
      </c>
    </row>
    <row r="155" spans="1:3" x14ac:dyDescent="0.25">
      <c r="A155" s="45" t="s">
        <v>116</v>
      </c>
      <c r="B155" s="58" t="s">
        <v>33</v>
      </c>
      <c r="C155" s="47" t="s">
        <v>34</v>
      </c>
    </row>
    <row r="156" spans="1:3" x14ac:dyDescent="0.25">
      <c r="A156" s="45" t="s">
        <v>117</v>
      </c>
      <c r="B156" s="58" t="s">
        <v>118</v>
      </c>
      <c r="C156" s="47" t="s">
        <v>119</v>
      </c>
    </row>
    <row r="157" spans="1:3" x14ac:dyDescent="0.25">
      <c r="A157" s="45" t="s">
        <v>120</v>
      </c>
      <c r="B157" s="58" t="s">
        <v>62</v>
      </c>
      <c r="C157" s="47" t="s">
        <v>63</v>
      </c>
    </row>
    <row r="158" spans="1:3" x14ac:dyDescent="0.25">
      <c r="A158" s="45" t="s">
        <v>121</v>
      </c>
      <c r="B158" s="58" t="s">
        <v>64</v>
      </c>
      <c r="C158" s="47" t="s">
        <v>65</v>
      </c>
    </row>
    <row r="159" spans="1:3" x14ac:dyDescent="0.25">
      <c r="A159" s="45" t="s">
        <v>122</v>
      </c>
      <c r="B159" s="58" t="s">
        <v>123</v>
      </c>
      <c r="C159" s="47" t="s">
        <v>124</v>
      </c>
    </row>
    <row r="160" spans="1:3" x14ac:dyDescent="0.25">
      <c r="A160" s="45" t="s">
        <v>125</v>
      </c>
      <c r="B160" s="58" t="s">
        <v>50</v>
      </c>
      <c r="C160" s="52" t="s">
        <v>51</v>
      </c>
    </row>
    <row r="161" spans="1:3" x14ac:dyDescent="0.25">
      <c r="A161" s="45" t="s">
        <v>126</v>
      </c>
      <c r="B161" s="58" t="s">
        <v>21</v>
      </c>
      <c r="C161" s="47" t="s">
        <v>22</v>
      </c>
    </row>
    <row r="162" spans="1:3" ht="15.75" thickBot="1" x14ac:dyDescent="0.3">
      <c r="A162" s="53" t="s">
        <v>127</v>
      </c>
      <c r="B162" s="59" t="s">
        <v>128</v>
      </c>
      <c r="C162" s="60" t="s">
        <v>129</v>
      </c>
    </row>
    <row r="163" spans="1:3" ht="15.75" thickBot="1" x14ac:dyDescent="0.3"/>
    <row r="164" spans="1:3" x14ac:dyDescent="0.25">
      <c r="A164" s="42" t="s">
        <v>38</v>
      </c>
      <c r="B164" s="44" t="s">
        <v>130</v>
      </c>
      <c r="C164" s="44"/>
    </row>
    <row r="165" spans="1:3" x14ac:dyDescent="0.25">
      <c r="A165" s="45" t="s">
        <v>110</v>
      </c>
      <c r="B165" s="52" t="s">
        <v>33</v>
      </c>
      <c r="C165" s="47" t="s">
        <v>34</v>
      </c>
    </row>
    <row r="166" spans="1:3" x14ac:dyDescent="0.25">
      <c r="A166" s="45" t="s">
        <v>29</v>
      </c>
      <c r="B166" s="52" t="s">
        <v>111</v>
      </c>
      <c r="C166" s="47" t="s">
        <v>112</v>
      </c>
    </row>
    <row r="167" spans="1:3" x14ac:dyDescent="0.25">
      <c r="A167" s="45" t="s">
        <v>113</v>
      </c>
      <c r="B167" s="52" t="s">
        <v>114</v>
      </c>
      <c r="C167" s="47" t="s">
        <v>115</v>
      </c>
    </row>
    <row r="168" spans="1:3" x14ac:dyDescent="0.25">
      <c r="A168" s="45" t="s">
        <v>116</v>
      </c>
      <c r="B168" s="52" t="s">
        <v>33</v>
      </c>
      <c r="C168" s="47" t="s">
        <v>34</v>
      </c>
    </row>
    <row r="169" spans="1:3" x14ac:dyDescent="0.25">
      <c r="A169" s="45" t="s">
        <v>117</v>
      </c>
      <c r="B169" s="52" t="s">
        <v>118</v>
      </c>
      <c r="C169" s="47" t="s">
        <v>119</v>
      </c>
    </row>
    <row r="170" spans="1:3" x14ac:dyDescent="0.25">
      <c r="A170" s="45" t="s">
        <v>120</v>
      </c>
      <c r="B170" s="52" t="s">
        <v>62</v>
      </c>
      <c r="C170" s="47" t="s">
        <v>63</v>
      </c>
    </row>
    <row r="171" spans="1:3" x14ac:dyDescent="0.25">
      <c r="A171" s="45" t="s">
        <v>121</v>
      </c>
      <c r="B171" s="52" t="s">
        <v>64</v>
      </c>
      <c r="C171" s="52" t="s">
        <v>65</v>
      </c>
    </row>
    <row r="172" spans="1:3" x14ac:dyDescent="0.25">
      <c r="A172" s="45" t="s">
        <v>122</v>
      </c>
      <c r="B172" s="52" t="s">
        <v>131</v>
      </c>
      <c r="C172" s="47" t="s">
        <v>132</v>
      </c>
    </row>
    <row r="173" spans="1:3" x14ac:dyDescent="0.25">
      <c r="A173" s="45" t="s">
        <v>125</v>
      </c>
      <c r="B173" s="52" t="s">
        <v>133</v>
      </c>
      <c r="C173" s="47" t="s">
        <v>134</v>
      </c>
    </row>
    <row r="174" spans="1:3" x14ac:dyDescent="0.25">
      <c r="A174" s="45" t="s">
        <v>126</v>
      </c>
      <c r="B174" s="52" t="s">
        <v>21</v>
      </c>
      <c r="C174" s="52" t="s">
        <v>22</v>
      </c>
    </row>
    <row r="175" spans="1:3" ht="15.75" thickBot="1" x14ac:dyDescent="0.3">
      <c r="A175" s="53" t="s">
        <v>127</v>
      </c>
      <c r="B175" s="61" t="s">
        <v>128</v>
      </c>
      <c r="C175" s="60" t="s">
        <v>129</v>
      </c>
    </row>
    <row r="176" spans="1:3" ht="15.75" thickBot="1" x14ac:dyDescent="0.3"/>
    <row r="177" spans="1:3" x14ac:dyDescent="0.25">
      <c r="A177" s="42" t="s">
        <v>47</v>
      </c>
      <c r="B177" s="44" t="s">
        <v>135</v>
      </c>
      <c r="C177" s="44"/>
    </row>
    <row r="178" spans="1:3" x14ac:dyDescent="0.25">
      <c r="A178" s="45" t="s">
        <v>110</v>
      </c>
      <c r="B178" s="52" t="s">
        <v>33</v>
      </c>
      <c r="C178" s="47" t="s">
        <v>34</v>
      </c>
    </row>
    <row r="179" spans="1:3" x14ac:dyDescent="0.25">
      <c r="A179" s="45" t="s">
        <v>29</v>
      </c>
      <c r="B179" s="52" t="s">
        <v>30</v>
      </c>
      <c r="C179" s="47" t="s">
        <v>31</v>
      </c>
    </row>
    <row r="180" spans="1:3" x14ac:dyDescent="0.25">
      <c r="A180" s="45" t="s">
        <v>113</v>
      </c>
      <c r="B180" s="52" t="s">
        <v>114</v>
      </c>
      <c r="C180" s="47" t="s">
        <v>115</v>
      </c>
    </row>
    <row r="181" spans="1:3" x14ac:dyDescent="0.25">
      <c r="A181" s="45" t="s">
        <v>116</v>
      </c>
      <c r="B181" s="52" t="s">
        <v>33</v>
      </c>
      <c r="C181" s="47" t="s">
        <v>34</v>
      </c>
    </row>
    <row r="182" spans="1:3" x14ac:dyDescent="0.25">
      <c r="A182" s="45" t="s">
        <v>117</v>
      </c>
      <c r="B182" s="52" t="s">
        <v>118</v>
      </c>
      <c r="C182" s="47" t="s">
        <v>119</v>
      </c>
    </row>
    <row r="183" spans="1:3" x14ac:dyDescent="0.25">
      <c r="A183" s="45" t="s">
        <v>120</v>
      </c>
      <c r="B183" s="52" t="s">
        <v>62</v>
      </c>
      <c r="C183" s="47" t="s">
        <v>63</v>
      </c>
    </row>
    <row r="184" spans="1:3" x14ac:dyDescent="0.25">
      <c r="A184" s="45" t="s">
        <v>121</v>
      </c>
      <c r="B184" s="52" t="s">
        <v>50</v>
      </c>
      <c r="C184" s="52" t="s">
        <v>51</v>
      </c>
    </row>
    <row r="185" spans="1:3" x14ac:dyDescent="0.25">
      <c r="A185" s="45" t="s">
        <v>122</v>
      </c>
      <c r="B185" s="52" t="s">
        <v>131</v>
      </c>
      <c r="C185" s="47" t="s">
        <v>132</v>
      </c>
    </row>
    <row r="186" spans="1:3" x14ac:dyDescent="0.25">
      <c r="A186" s="45" t="s">
        <v>125</v>
      </c>
      <c r="B186" s="52" t="s">
        <v>133</v>
      </c>
      <c r="C186" s="47" t="s">
        <v>134</v>
      </c>
    </row>
    <row r="187" spans="1:3" x14ac:dyDescent="0.25">
      <c r="A187" s="45" t="s">
        <v>126</v>
      </c>
      <c r="B187" s="52" t="s">
        <v>21</v>
      </c>
      <c r="C187" s="52" t="s">
        <v>22</v>
      </c>
    </row>
    <row r="188" spans="1:3" ht="15.75" thickBot="1" x14ac:dyDescent="0.3">
      <c r="A188" s="53" t="s">
        <v>127</v>
      </c>
      <c r="B188" s="61" t="s">
        <v>128</v>
      </c>
      <c r="C188" s="60" t="s">
        <v>129</v>
      </c>
    </row>
    <row r="189" spans="1:3" ht="15.75" thickBot="1" x14ac:dyDescent="0.3"/>
    <row r="190" spans="1:3" x14ac:dyDescent="0.25">
      <c r="A190" s="42" t="s">
        <v>47</v>
      </c>
      <c r="B190" s="44" t="s">
        <v>136</v>
      </c>
      <c r="C190" s="44"/>
    </row>
    <row r="191" spans="1:3" x14ac:dyDescent="0.25">
      <c r="A191" s="45" t="s">
        <v>110</v>
      </c>
      <c r="B191" s="52" t="s">
        <v>33</v>
      </c>
      <c r="C191" s="47" t="s">
        <v>34</v>
      </c>
    </row>
    <row r="192" spans="1:3" x14ac:dyDescent="0.25">
      <c r="A192" s="45" t="s">
        <v>29</v>
      </c>
      <c r="B192" s="52" t="s">
        <v>30</v>
      </c>
      <c r="C192" s="47" t="s">
        <v>31</v>
      </c>
    </row>
    <row r="193" spans="1:3" x14ac:dyDescent="0.25">
      <c r="A193" s="45" t="s">
        <v>113</v>
      </c>
      <c r="B193" s="52" t="s">
        <v>114</v>
      </c>
      <c r="C193" s="47" t="s">
        <v>115</v>
      </c>
    </row>
    <row r="194" spans="1:3" x14ac:dyDescent="0.25">
      <c r="A194" s="45" t="s">
        <v>116</v>
      </c>
      <c r="B194" s="52" t="s">
        <v>33</v>
      </c>
      <c r="C194" s="47" t="s">
        <v>34</v>
      </c>
    </row>
    <row r="195" spans="1:3" x14ac:dyDescent="0.25">
      <c r="A195" s="45" t="s">
        <v>117</v>
      </c>
      <c r="B195" s="52" t="s">
        <v>118</v>
      </c>
      <c r="C195" s="47" t="s">
        <v>119</v>
      </c>
    </row>
    <row r="196" spans="1:3" x14ac:dyDescent="0.25">
      <c r="A196" s="45" t="s">
        <v>120</v>
      </c>
      <c r="B196" s="52" t="s">
        <v>62</v>
      </c>
      <c r="C196" s="47" t="s">
        <v>63</v>
      </c>
    </row>
    <row r="197" spans="1:3" x14ac:dyDescent="0.25">
      <c r="A197" s="45" t="s">
        <v>121</v>
      </c>
      <c r="B197" s="52" t="s">
        <v>60</v>
      </c>
      <c r="C197" s="52" t="s">
        <v>61</v>
      </c>
    </row>
    <row r="198" spans="1:3" x14ac:dyDescent="0.25">
      <c r="A198" s="45" t="s">
        <v>122</v>
      </c>
      <c r="B198" s="52" t="s">
        <v>123</v>
      </c>
      <c r="C198" s="47" t="s">
        <v>124</v>
      </c>
    </row>
    <row r="199" spans="1:3" x14ac:dyDescent="0.25">
      <c r="A199" s="45" t="s">
        <v>125</v>
      </c>
      <c r="B199" s="52" t="s">
        <v>50</v>
      </c>
      <c r="C199" s="47" t="s">
        <v>51</v>
      </c>
    </row>
    <row r="200" spans="1:3" x14ac:dyDescent="0.25">
      <c r="A200" s="45" t="s">
        <v>126</v>
      </c>
      <c r="B200" s="52" t="s">
        <v>21</v>
      </c>
      <c r="C200" s="52" t="s">
        <v>22</v>
      </c>
    </row>
    <row r="201" spans="1:3" ht="15.75" thickBot="1" x14ac:dyDescent="0.3">
      <c r="A201" s="53" t="s">
        <v>127</v>
      </c>
      <c r="B201" s="61" t="s">
        <v>128</v>
      </c>
      <c r="C201" s="60" t="s">
        <v>129</v>
      </c>
    </row>
    <row r="202" spans="1:3" ht="15.75" thickBot="1" x14ac:dyDescent="0.3"/>
    <row r="203" spans="1:3" x14ac:dyDescent="0.25">
      <c r="A203" s="42" t="s">
        <v>4</v>
      </c>
      <c r="B203" s="44" t="s">
        <v>137</v>
      </c>
      <c r="C203" s="44"/>
    </row>
    <row r="204" spans="1:3" x14ac:dyDescent="0.25">
      <c r="A204" s="45" t="s">
        <v>35</v>
      </c>
      <c r="B204" s="52" t="s">
        <v>94</v>
      </c>
      <c r="C204" s="47" t="s">
        <v>95</v>
      </c>
    </row>
    <row r="205" spans="1:3" x14ac:dyDescent="0.25">
      <c r="A205" s="45" t="s">
        <v>138</v>
      </c>
      <c r="B205" s="52" t="s">
        <v>66</v>
      </c>
      <c r="C205" s="47" t="s">
        <v>67</v>
      </c>
    </row>
    <row r="206" spans="1:3" x14ac:dyDescent="0.25">
      <c r="A206" s="45" t="s">
        <v>139</v>
      </c>
      <c r="B206" s="52" t="s">
        <v>58</v>
      </c>
      <c r="C206" s="47" t="s">
        <v>59</v>
      </c>
    </row>
    <row r="207" spans="1:3" x14ac:dyDescent="0.25">
      <c r="A207" s="45" t="s">
        <v>140</v>
      </c>
      <c r="B207" s="52" t="s">
        <v>107</v>
      </c>
      <c r="C207" s="47" t="s">
        <v>108</v>
      </c>
    </row>
    <row r="208" spans="1:3" x14ac:dyDescent="0.25">
      <c r="A208" s="45" t="s">
        <v>141</v>
      </c>
      <c r="B208" s="52" t="s">
        <v>78</v>
      </c>
      <c r="C208" s="47"/>
    </row>
    <row r="209" spans="1:3" x14ac:dyDescent="0.25">
      <c r="A209" s="45"/>
      <c r="B209" s="52"/>
      <c r="C209" s="47"/>
    </row>
    <row r="210" spans="1:3" x14ac:dyDescent="0.25">
      <c r="A210" s="45"/>
      <c r="B210" s="52"/>
      <c r="C210" s="52"/>
    </row>
    <row r="211" spans="1:3" x14ac:dyDescent="0.25">
      <c r="A211" s="45"/>
      <c r="B211" s="52"/>
      <c r="C211" s="47"/>
    </row>
    <row r="212" spans="1:3" x14ac:dyDescent="0.25">
      <c r="A212" s="45"/>
      <c r="B212" s="52"/>
      <c r="C212" s="47"/>
    </row>
    <row r="213" spans="1:3" x14ac:dyDescent="0.25">
      <c r="A213" s="45"/>
      <c r="B213" s="52"/>
      <c r="C213" s="52"/>
    </row>
    <row r="214" spans="1:3" ht="15.75" thickBot="1" x14ac:dyDescent="0.3">
      <c r="A214" s="53"/>
      <c r="B214" s="61"/>
      <c r="C214" s="52"/>
    </row>
    <row r="215" spans="1:3" ht="15.75" thickBot="1" x14ac:dyDescent="0.3"/>
    <row r="216" spans="1:3" x14ac:dyDescent="0.25">
      <c r="A216" s="42" t="s">
        <v>142</v>
      </c>
      <c r="B216" s="44" t="s">
        <v>143</v>
      </c>
      <c r="C216" s="44"/>
    </row>
    <row r="217" spans="1:3" x14ac:dyDescent="0.25">
      <c r="A217" s="45" t="s">
        <v>144</v>
      </c>
      <c r="B217" s="52" t="s">
        <v>107</v>
      </c>
      <c r="C217" s="47" t="s">
        <v>108</v>
      </c>
    </row>
    <row r="218" spans="1:3" x14ac:dyDescent="0.25">
      <c r="A218" s="45" t="s">
        <v>145</v>
      </c>
      <c r="B218" s="52" t="s">
        <v>146</v>
      </c>
      <c r="C218" s="47" t="s">
        <v>147</v>
      </c>
    </row>
    <row r="219" spans="1:3" x14ac:dyDescent="0.25">
      <c r="A219" s="45" t="s">
        <v>148</v>
      </c>
      <c r="B219" s="52" t="s">
        <v>149</v>
      </c>
      <c r="C219" s="47" t="s">
        <v>150</v>
      </c>
    </row>
    <row r="220" spans="1:3" x14ac:dyDescent="0.25">
      <c r="A220" s="45" t="s">
        <v>141</v>
      </c>
      <c r="B220" s="52" t="s">
        <v>104</v>
      </c>
      <c r="C220" s="47" t="s">
        <v>105</v>
      </c>
    </row>
    <row r="221" spans="1:3" x14ac:dyDescent="0.25">
      <c r="A221" s="45" t="s">
        <v>29</v>
      </c>
      <c r="B221" s="52" t="s">
        <v>41</v>
      </c>
      <c r="C221" s="47" t="s">
        <v>42</v>
      </c>
    </row>
    <row r="222" spans="1:3" x14ac:dyDescent="0.25">
      <c r="A222" s="45" t="s">
        <v>151</v>
      </c>
      <c r="B222" s="52" t="s">
        <v>152</v>
      </c>
      <c r="C222" s="47" t="s">
        <v>153</v>
      </c>
    </row>
    <row r="223" spans="1:3" x14ac:dyDescent="0.25">
      <c r="A223" s="45" t="s">
        <v>154</v>
      </c>
      <c r="B223" s="52" t="s">
        <v>21</v>
      </c>
      <c r="C223" s="52" t="s">
        <v>22</v>
      </c>
    </row>
    <row r="224" spans="1:3" x14ac:dyDescent="0.25">
      <c r="A224" s="45"/>
      <c r="B224" s="52"/>
      <c r="C224" s="47"/>
    </row>
    <row r="225" spans="1:3" x14ac:dyDescent="0.25">
      <c r="A225" s="45"/>
      <c r="B225" s="52"/>
      <c r="C225" s="47"/>
    </row>
    <row r="226" spans="1:3" x14ac:dyDescent="0.25">
      <c r="A226" s="45"/>
      <c r="B226" s="52"/>
      <c r="C226" s="52"/>
    </row>
    <row r="227" spans="1:3" ht="15.75" thickBot="1" x14ac:dyDescent="0.3">
      <c r="A227" s="53"/>
      <c r="B227" s="61"/>
      <c r="C227" s="52"/>
    </row>
    <row r="228" spans="1:3" ht="15.75" thickBot="1" x14ac:dyDescent="0.3"/>
    <row r="229" spans="1:3" x14ac:dyDescent="0.25">
      <c r="A229" s="42"/>
      <c r="B229" s="44" t="s">
        <v>155</v>
      </c>
      <c r="C229" s="44"/>
    </row>
    <row r="230" spans="1:3" x14ac:dyDescent="0.25">
      <c r="A230" s="45"/>
      <c r="B230" s="52"/>
      <c r="C230" s="47"/>
    </row>
    <row r="231" spans="1:3" x14ac:dyDescent="0.25">
      <c r="A231" s="45"/>
      <c r="B231" s="52"/>
      <c r="C231" s="47"/>
    </row>
    <row r="232" spans="1:3" x14ac:dyDescent="0.25">
      <c r="A232" s="45"/>
      <c r="B232" s="52"/>
      <c r="C232" s="47"/>
    </row>
    <row r="233" spans="1:3" x14ac:dyDescent="0.25">
      <c r="A233" s="45"/>
      <c r="B233" s="52"/>
      <c r="C233" s="47"/>
    </row>
    <row r="234" spans="1:3" x14ac:dyDescent="0.25">
      <c r="A234" s="45"/>
      <c r="B234" s="52"/>
      <c r="C234" s="47"/>
    </row>
    <row r="235" spans="1:3" x14ac:dyDescent="0.25">
      <c r="A235" s="45"/>
      <c r="B235" s="52"/>
      <c r="C235" s="47"/>
    </row>
    <row r="236" spans="1:3" x14ac:dyDescent="0.25">
      <c r="A236" s="45"/>
      <c r="B236" s="52"/>
      <c r="C236" s="52"/>
    </row>
    <row r="237" spans="1:3" x14ac:dyDescent="0.25">
      <c r="A237" s="45"/>
      <c r="B237" s="52"/>
      <c r="C237" s="47"/>
    </row>
    <row r="238" spans="1:3" x14ac:dyDescent="0.25">
      <c r="A238" s="45"/>
      <c r="B238" s="52"/>
      <c r="C238" s="47"/>
    </row>
    <row r="239" spans="1:3" x14ac:dyDescent="0.25">
      <c r="A239" s="45"/>
      <c r="B239" s="52"/>
      <c r="C239" s="52"/>
    </row>
    <row r="240" spans="1:3" ht="15.75" thickBot="1" x14ac:dyDescent="0.3">
      <c r="A240" s="53"/>
      <c r="B240" s="61"/>
      <c r="C240" s="52"/>
    </row>
    <row r="241" spans="1:3" ht="15.75" thickBot="1" x14ac:dyDescent="0.3"/>
    <row r="242" spans="1:3" x14ac:dyDescent="0.25">
      <c r="A242" s="42"/>
      <c r="B242" s="44" t="s">
        <v>156</v>
      </c>
      <c r="C242" s="44"/>
    </row>
    <row r="243" spans="1:3" x14ac:dyDescent="0.25">
      <c r="A243" s="45"/>
      <c r="B243" s="52"/>
      <c r="C243" s="47"/>
    </row>
    <row r="244" spans="1:3" x14ac:dyDescent="0.25">
      <c r="A244" s="45"/>
      <c r="B244" s="52"/>
      <c r="C244" s="47"/>
    </row>
    <row r="245" spans="1:3" x14ac:dyDescent="0.25">
      <c r="A245" s="45"/>
      <c r="B245" s="52"/>
      <c r="C245" s="47"/>
    </row>
    <row r="246" spans="1:3" x14ac:dyDescent="0.25">
      <c r="A246" s="45"/>
      <c r="B246" s="52"/>
      <c r="C246" s="47"/>
    </row>
    <row r="247" spans="1:3" x14ac:dyDescent="0.25">
      <c r="A247" s="45"/>
      <c r="B247" s="52"/>
      <c r="C247" s="47"/>
    </row>
    <row r="248" spans="1:3" x14ac:dyDescent="0.25">
      <c r="A248" s="45"/>
      <c r="B248" s="52"/>
      <c r="C248" s="47"/>
    </row>
    <row r="249" spans="1:3" x14ac:dyDescent="0.25">
      <c r="A249" s="45"/>
      <c r="B249" s="52"/>
      <c r="C249" s="52"/>
    </row>
    <row r="250" spans="1:3" x14ac:dyDescent="0.25">
      <c r="A250" s="45"/>
      <c r="B250" s="52"/>
      <c r="C250" s="47"/>
    </row>
    <row r="251" spans="1:3" x14ac:dyDescent="0.25">
      <c r="A251" s="45"/>
      <c r="B251" s="52"/>
      <c r="C251" s="47"/>
    </row>
    <row r="252" spans="1:3" x14ac:dyDescent="0.25">
      <c r="A252" s="45"/>
      <c r="B252" s="52"/>
      <c r="C252" s="52"/>
    </row>
    <row r="253" spans="1:3" ht="15.75" thickBot="1" x14ac:dyDescent="0.3">
      <c r="A253" s="53"/>
      <c r="B253" s="61"/>
      <c r="C253" s="52"/>
    </row>
  </sheetData>
  <hyperlinks>
    <hyperlink ref="C4" r:id="rId1" xr:uid="{E5C48EE0-785A-420D-8A1A-8FBB64992D5B}"/>
    <hyperlink ref="C6" r:id="rId2" xr:uid="{F3055331-6D29-470D-ADAB-F4A879BEC276}"/>
    <hyperlink ref="C7" r:id="rId3" xr:uid="{009D932A-0CF4-48FF-ABAD-2E78F5625B35}"/>
    <hyperlink ref="C10" r:id="rId4" xr:uid="{8861ECEC-EBC5-494A-9349-F04A0F4638DD}"/>
    <hyperlink ref="C14" r:id="rId5" xr:uid="{D71F59E8-9652-40EA-9467-73F3723D5787}"/>
    <hyperlink ref="C15" r:id="rId6" xr:uid="{E36FC542-11FA-4B05-B771-39AE5738191F}"/>
    <hyperlink ref="C16" r:id="rId7" xr:uid="{BC961F7D-38DD-4EC8-B50F-C7781A283EF4}"/>
    <hyperlink ref="C17" r:id="rId8" xr:uid="{7D18DA9F-30DB-4FB8-AE32-D9E9E3D4D780}"/>
    <hyperlink ref="C18" r:id="rId9" xr:uid="{CAFB5B68-F1DC-4A87-9CE3-E95F22CC14DF}"/>
    <hyperlink ref="C20" r:id="rId10" xr:uid="{AE0621E8-0E0E-4BEB-98E3-92E23A561BEB}"/>
    <hyperlink ref="C24" r:id="rId11" xr:uid="{0F9746EA-DCDB-4B99-8C2D-AF476EC3EFFA}"/>
    <hyperlink ref="C25" r:id="rId12" xr:uid="{FB85BA01-FE79-41D1-B5DF-B67579C530DF}"/>
    <hyperlink ref="C26" r:id="rId13" xr:uid="{F6F1E208-27DE-4F06-8CCD-34AFAC9F7BC0}"/>
    <hyperlink ref="C27" r:id="rId14" xr:uid="{7CF547B1-3EB6-405D-952E-45F8AF0410B5}"/>
    <hyperlink ref="C30" r:id="rId15" xr:uid="{47C0D746-CB84-462A-A60B-6B41D3357B62}"/>
    <hyperlink ref="C34" r:id="rId16" xr:uid="{08DBF40A-B2DE-403B-9EDF-A08CD63D54A9}"/>
    <hyperlink ref="C36" r:id="rId17" xr:uid="{6DC27561-E3EB-4DAC-BF9A-BCFFD0E3E669}"/>
    <hyperlink ref="C37" r:id="rId18" xr:uid="{F7554C85-15F4-47C4-9879-5EEF2EFA867B}"/>
    <hyperlink ref="C38" r:id="rId19" xr:uid="{81731C86-3096-4EA5-A7D2-2A8BDA6785DD}"/>
    <hyperlink ref="C40" r:id="rId20" xr:uid="{6B76A5CE-D1B1-46AF-94D8-DA9B41EC3FDE}"/>
    <hyperlink ref="C50" r:id="rId21" xr:uid="{1A0D9A21-3E27-490B-A9C8-B4B507356A13}"/>
    <hyperlink ref="C51" r:id="rId22" xr:uid="{98846B37-D3FF-48B2-A95D-B4FCDD303142}"/>
    <hyperlink ref="C56" r:id="rId23" xr:uid="{CF2B0265-6C9A-413D-9F36-8BE969A3566E}"/>
    <hyperlink ref="C57" r:id="rId24" xr:uid="{4F5F6421-FF32-4902-A081-8CEB30D5D867}"/>
    <hyperlink ref="C60" r:id="rId25" xr:uid="{5C568993-8859-4B2F-86BC-C5A738E2E6FB}"/>
    <hyperlink ref="C64" r:id="rId26" xr:uid="{80282678-7D6A-49EA-B879-C68B0A94E16D}"/>
    <hyperlink ref="C67" r:id="rId27" xr:uid="{F6BAA7E7-4AD5-49CC-A5BE-E488FC661A52}"/>
    <hyperlink ref="C88" r:id="rId28" xr:uid="{FE455028-D042-4825-B5A2-B6F9CBF0B4B8}"/>
    <hyperlink ref="C90" r:id="rId29" xr:uid="{3B1995E6-663B-4CF6-BA46-0E165EE869C8}"/>
    <hyperlink ref="C96" r:id="rId30" xr:uid="{2A78DC6F-0CB5-46E6-861B-F85B6B5B919E}"/>
    <hyperlink ref="C98" r:id="rId31" xr:uid="{00BDD650-4CB4-4B83-B35D-C96F6D45A319}"/>
    <hyperlink ref="C99" r:id="rId32" xr:uid="{3303C389-0219-4B21-963B-4791F6A1BFEC}"/>
    <hyperlink ref="C100" r:id="rId33" xr:uid="{BD379332-4D06-4461-BB69-C3629889C83C}"/>
    <hyperlink ref="C125" r:id="rId34" xr:uid="{5C6DD8E0-CB76-43AA-AE49-434733F36378}"/>
    <hyperlink ref="C134" r:id="rId35" xr:uid="{4AF991AD-6A3A-4E01-A7A8-5C7B768EAD22}"/>
    <hyperlink ref="C145" r:id="rId36" xr:uid="{9278496E-56B6-41F0-A518-55071A07CB82}"/>
    <hyperlink ref="C152" r:id="rId37" xr:uid="{FDCCB22C-239D-4C1F-9158-146291E11ECE}"/>
    <hyperlink ref="C153" r:id="rId38" xr:uid="{BE83DF4C-440F-4B28-AC7F-05D7EFD46CAA}"/>
    <hyperlink ref="C154" r:id="rId39" xr:uid="{8F1C871D-4C46-4892-B73E-6969C523DB02}"/>
    <hyperlink ref="C155" r:id="rId40" xr:uid="{2893189B-21C8-4BBC-916F-B845CE65016F}"/>
    <hyperlink ref="C156" r:id="rId41" xr:uid="{F51B0436-4A80-4B8F-B664-C6BEA75DADA2}"/>
    <hyperlink ref="C157" r:id="rId42" xr:uid="{A9BD4625-3F9F-4760-90C3-5317E7BB80CC}"/>
    <hyperlink ref="C158" r:id="rId43" xr:uid="{439BB12D-32EA-427F-8AA9-332175EB3CE8}"/>
    <hyperlink ref="C159" r:id="rId44" xr:uid="{76D8A929-9D8D-48B0-871B-CE9E7238BEE7}"/>
    <hyperlink ref="C161" r:id="rId45" xr:uid="{CE39A9F7-E622-443B-8E80-6FE27B4035A6}"/>
    <hyperlink ref="C166" r:id="rId46" xr:uid="{66D4C1AF-93DD-43AA-AA9E-BC3E574FC167}"/>
    <hyperlink ref="C167" r:id="rId47" xr:uid="{73C17D20-F30D-4D03-83B7-148C958AD5DF}"/>
    <hyperlink ref="C169" r:id="rId48" xr:uid="{68E3052D-9E18-4BEF-8DEC-0C4E7031497C}"/>
    <hyperlink ref="C170" r:id="rId49" xr:uid="{8712B004-45BD-4608-B1B5-926EDBCCF088}"/>
    <hyperlink ref="C172" r:id="rId50" xr:uid="{2303B87A-297F-4451-9D6A-F2E3397B697D}"/>
    <hyperlink ref="C173" r:id="rId51" xr:uid="{F7B4EA25-999C-47F9-8771-1D05C85C9A8B}"/>
    <hyperlink ref="C183" r:id="rId52" xr:uid="{D33DB43E-6404-427C-83D5-B72044CE1D22}"/>
    <hyperlink ref="C182" r:id="rId53" xr:uid="{97A81486-CAD1-49C6-9693-16CD1F587232}"/>
    <hyperlink ref="C186" r:id="rId54" xr:uid="{60B5A8B6-8308-4DA9-9702-A7600AEC27CF}"/>
    <hyperlink ref="C184" r:id="rId55" xr:uid="{CDE40879-E926-4FC1-A4CA-28F2F17CA5AA}"/>
    <hyperlink ref="C195" r:id="rId56" xr:uid="{FAB02098-04B7-4459-9720-61DB8449DF8D}"/>
    <hyperlink ref="C196" r:id="rId57" xr:uid="{B208A2CC-EA69-4429-BF34-989174CAF6F8}"/>
    <hyperlink ref="C197" r:id="rId58" xr:uid="{BBCAAD54-5D70-41DC-8CE6-305F79999BAA}"/>
    <hyperlink ref="C199" r:id="rId59" xr:uid="{AF3AD5C1-EC29-469B-8BC1-4416347C030D}"/>
    <hyperlink ref="C206" r:id="rId60" xr:uid="{29829B44-0FED-48D3-B001-CB3CA1F8230D}"/>
    <hyperlink ref="C205" r:id="rId61" xr:uid="{8B56C209-372E-4205-8575-4E9F72B0ADEA}"/>
    <hyperlink ref="C218" r:id="rId62" xr:uid="{571BA801-3EC7-4567-89A6-2D34C248CE4A}"/>
    <hyperlink ref="C219" r:id="rId63" xr:uid="{B0F6C490-8D64-4E31-AD6A-9866072D6C5A}"/>
    <hyperlink ref="C222" r:id="rId64" xr:uid="{54378527-9D0D-46A2-A5CE-F37B4EDCDBC4}"/>
    <hyperlink ref="C127" r:id="rId65" xr:uid="{0921DFE7-BE14-4577-834B-4BF7675E2ABC}"/>
    <hyperlink ref="C95" r:id="rId66" xr:uid="{02A307F7-5E50-4ED2-8EA5-6CA80D0F26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Feuil1</vt:lpstr>
      <vt:lpstr>Feuil2</vt:lpstr>
      <vt:lpstr>Feuil1!Print_Area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Contact Lodima</cp:lastModifiedBy>
  <cp:lastPrinted>2026-06-18T08:43:51Z</cp:lastPrinted>
  <dcterms:created xsi:type="dcterms:W3CDTF">2023-04-28T06:35:20Z</dcterms:created>
  <dcterms:modified xsi:type="dcterms:W3CDTF">2026-06-18T12:42:27Z</dcterms:modified>
</cp:coreProperties>
</file>